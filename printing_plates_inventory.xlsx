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d766a0638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2f678070c04af1"/>
    <x:sheet xmlns:r="http://schemas.openxmlformats.org/officeDocument/2006/relationships" name="Inventory" sheetId="2" r:id="R22cf63728df040aa"/>
    <x:sheet xmlns:r="http://schemas.openxmlformats.org/officeDocument/2006/relationships" name="Purchases" sheetId="3" r:id="R5353dc3c8ca0477d"/>
    <x:sheet xmlns:r="http://schemas.openxmlformats.org/officeDocument/2006/relationships" name="Sales" sheetId="4" r:id="R3d6808eb9bdf41d9"/>
    <x:sheet xmlns:r="http://schemas.openxmlformats.org/officeDocument/2006/relationships" name="Clients" sheetId="5" r:id="R1b22712056494f60"/>
    <x:sheet xmlns:r="http://schemas.openxmlformats.org/officeDocument/2006/relationships" name="Invoice" sheetId="6" r:id="R17dcd0cd61224426"/>
    <x:sheet xmlns:r="http://schemas.openxmlformats.org/officeDocument/2006/relationships" name="Lists" sheetId="7" r:id="R1e4165589b33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$Rs-421] #,##0"/>
    <x:numFmt numFmtId="201" formatCode="#,##0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c960137f4b10" /><Relationship Type="http://schemas.openxmlformats.org/officeDocument/2006/relationships/theme" Target="/xl/theme/theme1.xml" Id="R9feebe2fad9f4620" /><Relationship Type="http://schemas.openxmlformats.org/officeDocument/2006/relationships/sharedStrings" Target="/xl/sharedStrings.xml" Id="R17cacaac7cba4ce5" /><Relationship Type="http://schemas.openxmlformats.org/officeDocument/2006/relationships/worksheet" Target="/xl/worksheets/sheet1.xml" Id="R1a2f678070c04af1" /><Relationship Type="http://schemas.openxmlformats.org/officeDocument/2006/relationships/worksheet" Target="/xl/worksheets/sheet2.xml" Id="R22cf63728df040aa" /><Relationship Type="http://schemas.openxmlformats.org/officeDocument/2006/relationships/worksheet" Target="/xl/worksheets/sheet3.xml" Id="R5353dc3c8ca0477d" /><Relationship Type="http://schemas.openxmlformats.org/officeDocument/2006/relationships/worksheet" Target="/xl/worksheets/sheet4.xml" Id="R3d6808eb9bdf41d9" /><Relationship Type="http://schemas.openxmlformats.org/officeDocument/2006/relationships/worksheet" Target="/xl/worksheets/sheet5.xml" Id="R1b22712056494f60" /><Relationship Type="http://schemas.openxmlformats.org/officeDocument/2006/relationships/worksheet" Target="/xl/worksheets/sheet6.xml" Id="R17dcd0cd61224426" /><Relationship Type="http://schemas.openxmlformats.org/officeDocument/2006/relationships/worksheet" Target="/xl/worksheets/sheet7.xml" Id="R1e4165589b334457" /></Relationships>
</file>

<file path=xl/tables/table1.xml><?xml version="1.0" encoding="utf-8"?>
<x:table xmlns:x="http://schemas.openxmlformats.org/spreadsheetml/2006/main" id="1" name="InventoryTable" displayName="InventoryTable" ref="A3:N500" headerRowCount="1">
  <x:tableColumns count="14">
    <x:tableColumn id="1" name="Sr No"/>
    <x:tableColumn id="2" name="Item Code"/>
    <x:tableColumn id="3" name="Stock Name"/>
    <x:tableColumn id="4" name="Plate Size"/>
    <x:tableColumn id="5" name="Purchase Price"/>
    <x:tableColumn id="6" name="Default Sale Price"/>
    <x:tableColumn id="7" name="Opening Qty"/>
    <x:tableColumn id="8" name="Purchased Qty"/>
    <x:tableColumn id="9" name="Sold Qty"/>
    <x:tableColumn id="10" name="Current Stock"/>
    <x:tableColumn id="11" name="Stock Value"/>
    <x:tableColumn id="12" name="Reorder Level"/>
    <x:tableColumn id="13" name="Supplier"/>
    <x:tableColumn id="14" name="Last Purchase Date"/>
  </x:tableColumns>
  <x:tableStyleInfo name="TableStyleMedium2" showRowStripes="1"/>
</x:table>
</file>

<file path=xl/tables/table2.xml><?xml version="1.0" encoding="utf-8"?>
<x:table xmlns:x="http://schemas.openxmlformats.org/spreadsheetml/2006/main" id="2" name="PurchasesTable" displayName="PurchasesTable" ref="A3:I500" headerRowCount="1">
  <x:tableColumns count="9">
    <x:tableColumn id="1" name="Purchase ID"/>
    <x:tableColumn id="2" name="Date"/>
    <x:tableColumn id="3" name="Supplier"/>
    <x:tableColumn id="4" name="Item Code"/>
    <x:tableColumn id="5" name="Stock Name"/>
    <x:tableColumn id="6" name="Qty Purchased"/>
    <x:tableColumn id="7" name="Purchase Price"/>
    <x:tableColumn id="8" name="Total Cost"/>
    <x:tableColumn id="9" name="Remarks"/>
  </x:tableColumns>
  <x:tableStyleInfo name="TableStyleMedium2" showRowStripes="1"/>
</x:table>
</file>

<file path=xl/tables/table3.xml><?xml version="1.0" encoding="utf-8"?>
<x:table xmlns:x="http://schemas.openxmlformats.org/spreadsheetml/2006/main" id="4" name="SalesTable" displayName="SalesTable" ref="A3:O500" headerRowCount="1">
  <x:tableColumns count="15">
    <x:tableColumn id="1" name="Invoice No"/>
    <x:tableColumn id="2" name="Date"/>
    <x:tableColumn id="3" name="Client Name"/>
    <x:tableColumn id="4" name="Item Code"/>
    <x:tableColumn id="5" name="Stock Name"/>
    <x:tableColumn id="6" name="Size"/>
    <x:tableColumn id="7" name="Qty Sold"/>
    <x:tableColumn id="8" name="Sale Price"/>
    <x:tableColumn id="9" name="Total Amount"/>
    <x:tableColumn id="10" name="Purchase Price"/>
    <x:tableColumn id="11" name="Profit Per Unit"/>
    <x:tableColumn id="12" name="Total Profit"/>
    <x:tableColumn id="13" name="Payment Status"/>
    <x:tableColumn id="14" name="Paid Amount"/>
    <x:tableColumn id="15" name="Remarks"/>
  </x:tableColumns>
  <x:tableStyleInfo name="TableStyleMedium2" showRowStripes="1"/>
</x:table>
</file>

<file path=xl/tables/table4.xml><?xml version="1.0" encoding="utf-8"?>
<x:table xmlns:x="http://schemas.openxmlformats.org/spreadsheetml/2006/main" id="3" name="ClientsTable" displayName="ClientsTable" ref="A3:I500" headerRowCount="1">
  <x:tableColumns count="9">
    <x:tableColumn id="1" name="Client ID"/>
    <x:tableColumn id="2" name="Client Name"/>
    <x:tableColumn id="3" name="Phone"/>
    <x:tableColumn id="4" name="Address"/>
    <x:tableColumn id="5" name="Total Sales"/>
    <x:tableColumn id="6" name="Paid Amount"/>
    <x:tableColumn id="7" name="Outstanding Balance"/>
    <x:tableColumn id="8" name="Last Purchase Dat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035a1cfeb9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cd6e1d3c78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4250be0aaf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efb72cfbd489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5" t="str">
        <x:v>Printing Plates Inventory Dashboard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4" customHeight="1">
      <x:c r="A3" s="37" t="str">
        <x:v>Total Current Stock</x:v>
      </x:c>
      <x:c r="B3" s="51" t="n">
        <x:f>SUM(Inventory!J4:J500)</x:f>
        <x:v>0</x:v>
      </x:c>
      <x:c r="C3" s="50"/>
      <x:c r="D3" s="6" t="str">
        <x:v>Low Stock Alert</x:v>
      </x:c>
      <x:c r="E3" s="6" t="str">
        <x:v>Item Code</x:v>
      </x:c>
      <x:c r="F3" s="6" t="str">
        <x:v>Stock Name</x:v>
      </x:c>
      <x:c r="G3" s="6" t="str">
        <x:v>Current Stock</x:v>
      </x:c>
      <x:c r="H3" s="6" t="str">
        <x:v>Reorder Level</x:v>
      </x:c>
      <x:c r="I3" s="50"/>
      <x:c r="J3" s="50"/>
      <x:c r="K3" s="50"/>
      <x:c r="L3" s="50"/>
      <x:c r="M3" s="50"/>
      <x:c r="N3" s="50"/>
      <x:c r="O3" s="50"/>
    </x:row>
    <x:row r="4">
      <x:c r="A4" s="37" t="str">
        <x:v>Stock Value</x:v>
      </x:c>
      <x:c r="B4" s="52" t="n">
        <x:f>SUM(Inventory!K4:K500)</x:f>
        <x:v>0</x:v>
      </x:c>
      <x:c r="C4" s="50"/>
      <x:c r="D4" s="50" t="str">
        <x:f>IFERROR(INDEX(Inventory!$B$4:$B$500,AGGREGATE(15,6,(ROW(Inventory!$B$4:$B$500)-ROW(Inventory!$B$4)+1)/((Inventory!$J$4:$J$500&lt;=Inventory!$L$4:$L$500)*(Inventory!$B$4:$B$500&lt;&gt;"")),ROWS($D$4:D4))),"")</x:f>
        <x:v>PLT001</x:v>
      </x:c>
      <x:c r="E4" s="50" t="str">
        <x:f>IFERROR(VLOOKUP(D4,Inventory!$B:$L,1,FALSE),"")</x:f>
        <x:v>plt001</x:v>
      </x:c>
      <x:c r="F4" s="50" t="str">
        <x:f>IFERROR(VLOOKUP(D4,Inventory!$B:$L,2,FALSE),"")</x:f>
        <x:v>Printing Plate 12x18</x:v>
      </x:c>
      <x:c r="G4" s="50" t="n">
        <x:f>IFERROR(VLOOKUP(D4,Inventory!$B:$L,9,FALSE),"")</x:f>
        <x:v>0</x:v>
      </x:c>
      <x:c r="H4" s="50" t="n">
        <x:f>IFERROR(VLOOKUP(D4,Inventory!$B:$L,11,FALSE),"")</x:f>
        <x:v>10</x:v>
      </x:c>
      <x:c r="I4" s="50"/>
      <x:c r="J4" s="50"/>
      <x:c r="K4" s="50"/>
      <x:c r="L4" s="50"/>
      <x:c r="M4" s="50"/>
      <x:c r="N4" s="50"/>
      <x:c r="O4" s="50"/>
    </x:row>
    <x:row r="5">
      <x:c r="A5" s="37" t="str">
        <x:v>Total Sales</x:v>
      </x:c>
      <x:c r="B5" s="52" t="n">
        <x:f>SUM(Sales!I4:I500)</x:f>
        <x:v>0</x:v>
      </x:c>
      <x:c r="C5" s="50"/>
      <x:c r="D5" s="50">
        <x:f>IFERROR(INDEX(Inventory!$B$4:$B$500,AGGREGATE(15,6,(ROW(Inventory!$B$4:$B$500)-ROW(Inventory!$B$4)+1)/((Inventory!$J$4:$J$500&lt;=Inventory!$L$4:$L$500)*(Inventory!$B$4:$B$500&lt;&gt;"")),ROWS($D$4:D5))),"")</x:f>
      </x:c>
      <x:c r="E5" s="50">
        <x:f>IFERROR(VLOOKUP(D5,Inventory!$B:$L,1,FALSE),"")</x:f>
      </x:c>
      <x:c r="F5" s="50">
        <x:f>IFERROR(VLOOKUP(D5,Inventory!$B:$L,2,FALSE),"")</x:f>
      </x:c>
      <x:c r="G5" s="50">
        <x:f>IFERROR(VLOOKUP(D5,Inventory!$B:$L,9,FALSE),"")</x:f>
      </x:c>
      <x:c r="H5" s="50">
        <x:f>IFERROR(VLOOKUP(D5,Inventory!$B:$L,11,FALSE),"")</x:f>
      </x:c>
      <x:c r="I5" s="50"/>
      <x:c r="J5" s="50"/>
      <x:c r="K5" s="50"/>
      <x:c r="L5" s="50"/>
      <x:c r="M5" s="50"/>
      <x:c r="N5" s="50"/>
      <x:c r="O5" s="50"/>
    </x:row>
    <x:row r="6">
      <x:c r="A6" s="37" t="str">
        <x:v>Total Profit</x:v>
      </x:c>
      <x:c r="B6" s="52" t="n">
        <x:f>SUM(Sales!L4:L500)</x:f>
        <x:v>0</x:v>
      </x:c>
      <x:c r="C6" s="50"/>
      <x:c r="D6" s="50">
        <x:f>IFERROR(INDEX(Inventory!$B$4:$B$500,AGGREGATE(15,6,(ROW(Inventory!$B$4:$B$500)-ROW(Inventory!$B$4)+1)/((Inventory!$J$4:$J$500&lt;=Inventory!$L$4:$L$500)*(Inventory!$B$4:$B$500&lt;&gt;"")),ROWS($D$4:D6))),"")</x:f>
      </x:c>
      <x:c r="E6" s="50">
        <x:f>IFERROR(VLOOKUP(D6,Inventory!$B:$L,1,FALSE),"")</x:f>
      </x:c>
      <x:c r="F6" s="50">
        <x:f>IFERROR(VLOOKUP(D6,Inventory!$B:$L,2,FALSE),"")</x:f>
      </x:c>
      <x:c r="G6" s="50">
        <x:f>IFERROR(VLOOKUP(D6,Inventory!$B:$L,9,FALSE),"")</x:f>
      </x:c>
      <x:c r="H6" s="50">
        <x:f>IFERROR(VLOOKUP(D6,Inventory!$B:$L,11,FALSE),"")</x:f>
      </x:c>
      <x:c r="I6" s="50"/>
      <x:c r="J6" s="50"/>
      <x:c r="K6" s="50"/>
      <x:c r="L6" s="50"/>
      <x:c r="M6" s="50"/>
      <x:c r="N6" s="50"/>
      <x:c r="O6" s="50"/>
    </x:row>
    <x:row r="7">
      <x:c r="A7" s="37" t="str">
        <x:v>Outstanding Balance</x:v>
      </x:c>
      <x:c r="B7" s="52" t="n">
        <x:f>SUM(Clients!G4:G500)</x:f>
        <x:v>0</x:v>
      </x:c>
      <x:c r="C7" s="50"/>
      <x:c r="D7" s="50">
        <x:f>IFERROR(INDEX(Inventory!$B$4:$B$500,AGGREGATE(15,6,(ROW(Inventory!$B$4:$B$500)-ROW(Inventory!$B$4)+1)/((Inventory!$J$4:$J$500&lt;=Inventory!$L$4:$L$500)*(Inventory!$B$4:$B$500&lt;&gt;"")),ROWS($D$4:D7))),"")</x:f>
      </x:c>
      <x:c r="E7" s="50">
        <x:f>IFERROR(VLOOKUP(D7,Inventory!$B:$L,1,FALSE),"")</x:f>
      </x:c>
      <x:c r="F7" s="50">
        <x:f>IFERROR(VLOOKUP(D7,Inventory!$B:$L,2,FALSE),"")</x:f>
      </x:c>
      <x:c r="G7" s="50">
        <x:f>IFERROR(VLOOKUP(D7,Inventory!$B:$L,9,FALSE),"")</x:f>
      </x:c>
      <x:c r="H7" s="50">
        <x:f>IFERROR(VLOOKUP(D7,Inventory!$B:$L,11,FALSE),"")</x:f>
      </x:c>
      <x:c r="I7" s="50"/>
      <x:c r="J7" s="50"/>
      <x:c r="K7" s="50"/>
      <x:c r="L7" s="50"/>
      <x:c r="M7" s="50"/>
      <x:c r="N7" s="50"/>
      <x:c r="O7" s="50"/>
    </x:row>
    <x:row r="8">
      <x:c r="A8" s="37" t="str">
        <x:v>Low Stock Items</x:v>
      </x:c>
      <x:c r="B8" s="51" t="n">
        <x:f>COUNTIFS(Inventory!J4:J500,"&lt;= "&amp;Inventory!L4:L500,Inventory!B4:B500,"&lt;&gt;")</x:f>
        <x:v>0</x:v>
      </x:c>
      <x:c r="C8" s="50"/>
      <x:c r="D8" s="50">
        <x:f>IFERROR(INDEX(Inventory!$B$4:$B$500,AGGREGATE(15,6,(ROW(Inventory!$B$4:$B$500)-ROW(Inventory!$B$4)+1)/((Inventory!$J$4:$J$500&lt;=Inventory!$L$4:$L$500)*(Inventory!$B$4:$B$500&lt;&gt;"")),ROWS($D$4:D8))),"")</x:f>
      </x:c>
      <x:c r="E8" s="50">
        <x:f>IFERROR(VLOOKUP(D8,Inventory!$B:$L,1,FALSE),"")</x:f>
      </x:c>
      <x:c r="F8" s="50">
        <x:f>IFERROR(VLOOKUP(D8,Inventory!$B:$L,2,FALSE),"")</x:f>
      </x:c>
      <x:c r="G8" s="50">
        <x:f>IFERROR(VLOOKUP(D8,Inventory!$B:$L,9,FALSE),"")</x:f>
      </x:c>
      <x:c r="H8" s="50">
        <x:f>IFERROR(VLOOKUP(D8,Inventory!$B:$L,11,FALSE),"")</x:f>
      </x:c>
      <x:c r="I8" s="50"/>
      <x:c r="J8" s="50"/>
      <x:c r="K8" s="50"/>
      <x:c r="L8" s="50"/>
      <x:c r="M8" s="50"/>
      <x:c r="N8" s="50"/>
      <x:c r="O8" s="50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</x:row>
    <x:row r="10" ht="24" customHeight="1">
      <x:c r="A10" s="6" t="str">
        <x:v>Quick Instructions</x:v>
      </x:c>
      <x:c r="B10" s="6" t="str"/>
      <x:c r="C10" s="6" t="str"/>
      <x:c r="D10" s="6" t="str"/>
      <x:c r="E10" s="6" t="str"/>
      <x:c r="F10" s="6" t="str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>
      <x:c r="A11" s="53" t="str">
        <x:v>1</x:v>
      </x:c>
      <x:c r="B11" s="53" t="str">
        <x:v>Add plate sizes/items in Inventory sheet.</x:v>
      </x:c>
      <x:c r="C11" s="53" t="str"/>
      <x:c r="D11" s="53" t="str"/>
      <x:c r="E11" s="53" t="str"/>
      <x:c r="F11" s="53" t="str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>
      <x:c r="A12" s="53" t="str">
        <x:v>2</x:v>
      </x:c>
      <x:c r="B12" s="53" t="str">
        <x:v>Enter all new purchases in Purchases sheet.</x:v>
      </x:c>
      <x:c r="C12" s="53" t="str"/>
      <x:c r="D12" s="53" t="str"/>
      <x:c r="E12" s="53" t="str"/>
      <x:c r="F12" s="53" t="str"/>
      <x:c r="G12" s="50"/>
      <x:c r="H12" s="50"/>
      <x:c r="I12" s="50"/>
      <x:c r="J12" s="50"/>
      <x:c r="K12" s="50"/>
      <x:c r="L12" s="50"/>
      <x:c r="M12" s="50"/>
      <x:c r="N12" s="50"/>
      <x:c r="O12" s="50"/>
    </x:row>
    <x:row r="13">
      <x:c r="A13" s="53" t="str">
        <x:v>3</x:v>
      </x:c>
      <x:c r="B13" s="53" t="str">
        <x:v>Enter every sale in Sales sheet; stock and profit update automatically.</x:v>
      </x:c>
      <x:c r="C13" s="53" t="str"/>
      <x:c r="D13" s="53" t="str"/>
      <x:c r="E13" s="53" t="str"/>
      <x:c r="F13" s="53" t="str"/>
      <x:c r="G13" s="50"/>
      <x:c r="H13" s="50"/>
      <x:c r="I13" s="50"/>
      <x:c r="J13" s="50"/>
      <x:c r="K13" s="50"/>
      <x:c r="L13" s="50"/>
      <x:c r="M13" s="50"/>
      <x:c r="N13" s="50"/>
      <x:c r="O13" s="50"/>
    </x:row>
    <x:row r="14">
      <x:c r="A14" s="53" t="str">
        <x:v>4</x:v>
      </x:c>
      <x:c r="B14" s="53" t="str">
        <x:v>Add client details in Clients sheet.</x:v>
      </x:c>
      <x:c r="C14" s="53" t="str"/>
      <x:c r="D14" s="53" t="str"/>
      <x:c r="E14" s="53" t="str"/>
      <x:c r="F14" s="53" t="str"/>
      <x:c r="G14" s="50"/>
      <x:c r="H14" s="50"/>
      <x:c r="I14" s="50"/>
      <x:c r="J14" s="50"/>
      <x:c r="K14" s="50"/>
      <x:c r="L14" s="50"/>
      <x:c r="M14" s="50"/>
      <x:c r="N14" s="50"/>
      <x:c r="O14" s="50"/>
    </x:row>
    <x:row r="15">
      <x:c r="A15" s="53" t="str">
        <x:v>5</x:v>
      </x:c>
      <x:c r="B15" s="53" t="str">
        <x:v>For invoice: open Invoice sheet and change Invoice No in B3.</x:v>
      </x:c>
      <x:c r="C15" s="53" t="str"/>
      <x:c r="D15" s="53" t="str"/>
      <x:c r="E15" s="53" t="str"/>
      <x:c r="F15" s="53" t="str"/>
      <x:c r="G15" s="50"/>
      <x:c r="H15" s="50"/>
      <x:c r="I15" s="50"/>
      <x:c r="J15" s="50"/>
      <x:c r="K15" s="50"/>
      <x:c r="L15" s="50"/>
      <x:c r="M15" s="50"/>
      <x:c r="N15" s="50"/>
      <x:c r="O15" s="50"/>
    </x:row>
    <x:row r="16">
      <x:c r="A16" s="53" t="str">
        <x:v>6</x:v>
      </x:c>
      <x:c r="B16" s="53" t="str">
        <x:v>Export Invoice sheet as PDF from Excel when needed.</x:v>
      </x:c>
      <x:c r="C16" s="53" t="str"/>
      <x:c r="D16" s="53" t="str"/>
      <x:c r="E16" s="53" t="str"/>
      <x:c r="F16" s="53" t="str"/>
      <x:c r="G16" s="50"/>
      <x:c r="H16" s="50"/>
      <x:c r="I16" s="50"/>
      <x:c r="J16" s="50"/>
      <x:c r="K16" s="50"/>
      <x:c r="L16" s="50"/>
      <x:c r="M16" s="50"/>
      <x:c r="N16" s="50"/>
      <x:c r="O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15" t="str">
        <x:v>Printing Plates Inventory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4" customHeight="1">
      <x:c r="A3" s="6" t="str">
        <x:v>Sr No</x:v>
      </x:c>
      <x:c r="B3" s="6" t="str">
        <x:v>Item Code</x:v>
      </x:c>
      <x:c r="C3" s="6" t="str">
        <x:v>Stock Name</x:v>
      </x:c>
      <x:c r="D3" s="6" t="str">
        <x:v>Plate Size</x:v>
      </x:c>
      <x:c r="E3" s="6" t="str">
        <x:v>Purchase Price</x:v>
      </x:c>
      <x:c r="F3" s="6" t="str">
        <x:v>Default Sale Price</x:v>
      </x:c>
      <x:c r="G3" s="6" t="str">
        <x:v>Opening Qty</x:v>
      </x:c>
      <x:c r="H3" s="6" t="str">
        <x:v>Purchased Qty</x:v>
      </x:c>
      <x:c r="I3" s="6" t="str">
        <x:v>Sold Qty</x:v>
      </x:c>
      <x:c r="J3" s="6" t="str">
        <x:v>Current Stock</x:v>
      </x:c>
      <x:c r="K3" s="6" t="str">
        <x:v>Stock Value</x:v>
      </x:c>
      <x:c r="L3" s="6" t="str">
        <x:v>Reorder Level</x:v>
      </x:c>
      <x:c r="M3" s="6" t="str">
        <x:v>Supplier</x:v>
      </x:c>
      <x:c r="N3" s="6" t="str">
        <x:v>Last Purchase Date</x:v>
      </x:c>
      <x:c r="O3" s="50"/>
    </x:row>
    <x:row r="4">
      <x:c r="A4" s="53" t="n">
        <x:v>1</x:v>
      </x:c>
      <x:c r="B4" s="53" t="str">
        <x:v>PLT001</x:v>
      </x:c>
      <x:c r="C4" s="53" t="str">
        <x:v>Printing Plate 12x18</x:v>
      </x:c>
      <x:c r="D4" s="53" t="str">
        <x:v>12x18</x:v>
      </x:c>
      <x:c r="E4" s="58" t="n">
        <x:v>0</x:v>
      </x:c>
      <x:c r="F4" s="58" t="n">
        <x:v>0</x:v>
      </x:c>
      <x:c r="G4" s="59" t="n">
        <x:v>0</x:v>
      </x:c>
      <x:c r="H4" s="59" t="n">
        <x:f>SUMIF(Purchases!$D:$D,B4,Purchases!$F:$F)</x:f>
        <x:v>0</x:v>
      </x:c>
      <x:c r="I4" s="59" t="n">
        <x:f>SUMIF(Sales!$D:$D,B4,Sales!$G:$G)</x:f>
        <x:v>0</x:v>
      </x:c>
      <x:c r="J4" s="59" t="n">
        <x:f>G4+H4-I4</x:f>
        <x:v>0</x:v>
      </x:c>
      <x:c r="K4" s="58" t="n">
        <x:f>J4*E4</x:f>
        <x:v>0</x:v>
      </x:c>
      <x:c r="L4" s="59" t="n">
        <x:v>10</x:v>
      </x:c>
      <x:c r="M4" s="53" t="str">
        <x:v>Supplier A</x:v>
      </x:c>
      <x:c r="N4" s="60" t="n">
        <x:f>IFERROR(MAXIFS(Purchases!$B:$B,Purchases!$D:$D,B4),"")</x:f>
        <x:v>46194</x:v>
      </x:c>
      <x:c r="O4" s="50"/>
    </x:row>
    <x:row r="5">
      <x:c r="A5" s="53" t="n">
        <x:v>2</x:v>
      </x:c>
      <x:c r="B5" s="53" t="str">
        <x:v>PLT002</x:v>
      </x:c>
      <x:c r="C5" s="53" t="str">
        <x:v>Printing Plate 18x24</x:v>
      </x:c>
      <x:c r="D5" s="53" t="str">
        <x:v>18x24</x:v>
      </x:c>
      <x:c r="E5" s="58" t="n">
        <x:v>0</x:v>
      </x:c>
      <x:c r="F5" s="58" t="n">
        <x:v>0</x:v>
      </x:c>
      <x:c r="G5" s="59" t="n">
        <x:v>0</x:v>
      </x:c>
      <x:c r="H5" s="59" t="n">
        <x:f>SUMIF(Purchases!$D:$D,B5,Purchases!$F:$F)</x:f>
        <x:v>0</x:v>
      </x:c>
      <x:c r="I5" s="59" t="n">
        <x:f>SUMIF(Sales!$D:$D,B5,Sales!$G:$G)</x:f>
        <x:v>0</x:v>
      </x:c>
      <x:c r="J5" s="59" t="n">
        <x:f>G5+H5-I5</x:f>
        <x:v>0</x:v>
      </x:c>
      <x:c r="K5" s="58" t="n">
        <x:f>J5*E5</x:f>
        <x:v>0</x:v>
      </x:c>
      <x:c r="L5" s="59" t="n">
        <x:v>5</x:v>
      </x:c>
      <x:c r="M5" s="53" t="str">
        <x:v>Supplier A</x:v>
      </x:c>
      <x:c r="N5" s="60" t="n">
        <x:f>IFERROR(MAXIFS(Purchases!$B:$B,Purchases!$D:$D,B5),"")</x:f>
        <x:v>46194</x:v>
      </x:c>
      <x:c r="O5" s="50"/>
    </x:row>
    <x:row r="6">
      <x:c r="A6" s="53" t="n">
        <x:v>3</x:v>
      </x:c>
      <x:c r="B6" s="53" t="str">
        <x:v>PLT003</x:v>
      </x:c>
      <x:c r="C6" s="53" t="str">
        <x:v>Printing Plate 20x30</x:v>
      </x:c>
      <x:c r="D6" s="53" t="str">
        <x:v>20x30</x:v>
      </x:c>
      <x:c r="E6" s="58" t="n">
        <x:v>0</x:v>
      </x:c>
      <x:c r="F6" s="58" t="n">
        <x:v>0</x:v>
      </x:c>
      <x:c r="G6" s="59" t="n">
        <x:v>0</x:v>
      </x:c>
      <x:c r="H6" s="59" t="n">
        <x:f>SUMIF(Purchases!$D:$D,B6,Purchases!$F:$F)</x:f>
        <x:v>0</x:v>
      </x:c>
      <x:c r="I6" s="59" t="n">
        <x:f>SUMIF(Sales!$D:$D,B6,Sales!$G:$G)</x:f>
        <x:v>0</x:v>
      </x:c>
      <x:c r="J6" s="59" t="n">
        <x:f>G6+H6-I6</x:f>
        <x:v>0</x:v>
      </x:c>
      <x:c r="K6" s="58" t="n">
        <x:f>J6*E6</x:f>
        <x:v>0</x:v>
      </x:c>
      <x:c r="L6" s="59" t="n">
        <x:v>5</x:v>
      </x:c>
      <x:c r="M6" s="53" t="str">
        <x:v>Supplier A</x:v>
      </x:c>
      <x:c r="N6" s="60" t="n">
        <x:f>IFERROR(MAXIFS(Purchases!$B:$B,Purchases!$D:$D,B6),"")</x:f>
        <x:v>46194</x:v>
      </x:c>
      <x:c r="O6" s="50"/>
    </x:row>
    <x:row r="7">
      <x:c r="A7" s="53"/>
      <x:c r="B7" s="53"/>
      <x:c r="C7" s="53"/>
      <x:c r="D7" s="53"/>
      <x:c r="E7" s="58"/>
      <x:c r="F7" s="58"/>
      <x:c r="G7" s="59"/>
      <x:c r="H7" s="59" t="n">
        <x:f>SUMIF(Purchases!$D:$D,B7,Purchases!$F:$F)</x:f>
        <x:v>0</x:v>
      </x:c>
      <x:c r="I7" s="59" t="n">
        <x:f>SUMIF(Sales!$D:$D,B7,Sales!$G:$G)</x:f>
        <x:v>0</x:v>
      </x:c>
      <x:c r="J7" s="59" t="n">
        <x:f>G7+H7-I7</x:f>
        <x:v>0</x:v>
      </x:c>
      <x:c r="K7" s="58" t="n">
        <x:f>J7*E7</x:f>
        <x:v>0</x:v>
      </x:c>
      <x:c r="L7" s="59"/>
      <x:c r="M7" s="53"/>
      <x:c r="N7" s="60" t="n">
        <x:f>IFERROR(MAXIFS(Purchases!$B:$B,Purchases!$D:$D,B7),"")</x:f>
        <x:v>0</x:v>
      </x:c>
      <x:c r="O7" s="50"/>
    </x:row>
    <x:row r="8">
      <x:c r="A8" s="53"/>
      <x:c r="B8" s="53"/>
      <x:c r="C8" s="53"/>
      <x:c r="D8" s="53"/>
      <x:c r="E8" s="58"/>
      <x:c r="F8" s="58"/>
      <x:c r="G8" s="59"/>
      <x:c r="H8" s="59" t="n">
        <x:f>SUMIF(Purchases!$D:$D,B8,Purchases!$F:$F)</x:f>
        <x:v>0</x:v>
      </x:c>
      <x:c r="I8" s="59" t="n">
        <x:f>SUMIF(Sales!$D:$D,B8,Sales!$G:$G)</x:f>
        <x:v>0</x:v>
      </x:c>
      <x:c r="J8" s="59" t="n">
        <x:f>G8+H8-I8</x:f>
        <x:v>0</x:v>
      </x:c>
      <x:c r="K8" s="58" t="n">
        <x:f>J8*E8</x:f>
        <x:v>0</x:v>
      </x:c>
      <x:c r="L8" s="59"/>
      <x:c r="M8" s="53"/>
      <x:c r="N8" s="60" t="n">
        <x:f>IFERROR(MAXIFS(Purchases!$B:$B,Purchases!$D:$D,B8),"")</x:f>
        <x:v>0</x:v>
      </x:c>
      <x:c r="O8" s="50"/>
    </x:row>
    <x:row r="9">
      <x:c r="A9" s="53"/>
      <x:c r="B9" s="53"/>
      <x:c r="C9" s="53"/>
      <x:c r="D9" s="53"/>
      <x:c r="E9" s="58"/>
      <x:c r="F9" s="58"/>
      <x:c r="G9" s="59"/>
      <x:c r="H9" s="59" t="n">
        <x:f>SUMIF(Purchases!$D:$D,B9,Purchases!$F:$F)</x:f>
        <x:v>0</x:v>
      </x:c>
      <x:c r="I9" s="59" t="n">
        <x:f>SUMIF(Sales!$D:$D,B9,Sales!$G:$G)</x:f>
        <x:v>0</x:v>
      </x:c>
      <x:c r="J9" s="59" t="n">
        <x:f>G9+H9-I9</x:f>
        <x:v>0</x:v>
      </x:c>
      <x:c r="K9" s="58" t="n">
        <x:f>J9*E9</x:f>
        <x:v>0</x:v>
      </x:c>
      <x:c r="L9" s="59"/>
      <x:c r="M9" s="53"/>
      <x:c r="N9" s="60" t="n">
        <x:f>IFERROR(MAXIFS(Purchases!$B:$B,Purchases!$D:$D,B9),"")</x:f>
        <x:v>0</x:v>
      </x:c>
      <x:c r="O9" s="50"/>
    </x:row>
    <x:row r="10">
      <x:c r="A10" s="53"/>
      <x:c r="B10" s="53"/>
      <x:c r="C10" s="53"/>
      <x:c r="D10" s="53"/>
      <x:c r="E10" s="58"/>
      <x:c r="F10" s="58"/>
      <x:c r="G10" s="59"/>
      <x:c r="H10" s="59" t="n">
        <x:f>SUMIF(Purchases!$D:$D,B10,Purchases!$F:$F)</x:f>
        <x:v>0</x:v>
      </x:c>
      <x:c r="I10" s="59" t="n">
        <x:f>SUMIF(Sales!$D:$D,B10,Sales!$G:$G)</x:f>
        <x:v>0</x:v>
      </x:c>
      <x:c r="J10" s="59" t="n">
        <x:f>G10+H10-I10</x:f>
        <x:v>0</x:v>
      </x:c>
      <x:c r="K10" s="58" t="n">
        <x:f>J10*E10</x:f>
        <x:v>0</x:v>
      </x:c>
      <x:c r="L10" s="59"/>
      <x:c r="M10" s="53"/>
      <x:c r="N10" s="60" t="n">
        <x:f>IFERROR(MAXIFS(Purchases!$B:$B,Purchases!$D:$D,B10),"")</x:f>
        <x:v>0</x:v>
      </x:c>
      <x:c r="O10" s="50"/>
    </x:row>
    <x:row r="11">
      <x:c r="A11" s="53"/>
      <x:c r="B11" s="53"/>
      <x:c r="C11" s="53"/>
      <x:c r="D11" s="53"/>
      <x:c r="E11" s="58"/>
      <x:c r="F11" s="58"/>
      <x:c r="G11" s="59"/>
      <x:c r="H11" s="59" t="n">
        <x:f>SUMIF(Purchases!$D:$D,B11,Purchases!$F:$F)</x:f>
        <x:v>0</x:v>
      </x:c>
      <x:c r="I11" s="59" t="n">
        <x:f>SUMIF(Sales!$D:$D,B11,Sales!$G:$G)</x:f>
        <x:v>0</x:v>
      </x:c>
      <x:c r="J11" s="59" t="n">
        <x:f>G11+H11-I11</x:f>
        <x:v>0</x:v>
      </x:c>
      <x:c r="K11" s="58" t="n">
        <x:f>J11*E11</x:f>
        <x:v>0</x:v>
      </x:c>
      <x:c r="L11" s="59"/>
      <x:c r="M11" s="53"/>
      <x:c r="N11" s="60" t="n">
        <x:f>IFERROR(MAXIFS(Purchases!$B:$B,Purchases!$D:$D,B11),"")</x:f>
        <x:v>0</x:v>
      </x:c>
      <x:c r="O11" s="50"/>
    </x:row>
    <x:row r="12">
      <x:c r="A12" s="53"/>
      <x:c r="B12" s="53"/>
      <x:c r="C12" s="53"/>
      <x:c r="D12" s="53"/>
      <x:c r="E12" s="58"/>
      <x:c r="F12" s="58"/>
      <x:c r="G12" s="59"/>
      <x:c r="H12" s="59" t="n">
        <x:f>SUMIF(Purchases!$D:$D,B12,Purchases!$F:$F)</x:f>
        <x:v>0</x:v>
      </x:c>
      <x:c r="I12" s="59" t="n">
        <x:f>SUMIF(Sales!$D:$D,B12,Sales!$G:$G)</x:f>
        <x:v>0</x:v>
      </x:c>
      <x:c r="J12" s="59" t="n">
        <x:f>G12+H12-I12</x:f>
        <x:v>0</x:v>
      </x:c>
      <x:c r="K12" s="58" t="n">
        <x:f>J12*E12</x:f>
        <x:v>0</x:v>
      </x:c>
      <x:c r="L12" s="59"/>
      <x:c r="M12" s="53"/>
      <x:c r="N12" s="60" t="n">
        <x:f>IFERROR(MAXIFS(Purchases!$B:$B,Purchases!$D:$D,B12),"")</x:f>
        <x:v>0</x:v>
      </x:c>
      <x:c r="O12" s="50"/>
    </x:row>
    <x:row r="13">
      <x:c r="A13" s="53"/>
      <x:c r="B13" s="53"/>
      <x:c r="C13" s="53"/>
      <x:c r="D13" s="53"/>
      <x:c r="E13" s="58"/>
      <x:c r="F13" s="58"/>
      <x:c r="G13" s="59"/>
      <x:c r="H13" s="59" t="n">
        <x:f>SUMIF(Purchases!$D:$D,B13,Purchases!$F:$F)</x:f>
        <x:v>0</x:v>
      </x:c>
      <x:c r="I13" s="59" t="n">
        <x:f>SUMIF(Sales!$D:$D,B13,Sales!$G:$G)</x:f>
        <x:v>0</x:v>
      </x:c>
      <x:c r="J13" s="59" t="n">
        <x:f>G13+H13-I13</x:f>
        <x:v>0</x:v>
      </x:c>
      <x:c r="K13" s="58" t="n">
        <x:f>J13*E13</x:f>
        <x:v>0</x:v>
      </x:c>
      <x:c r="L13" s="59"/>
      <x:c r="M13" s="53"/>
      <x:c r="N13" s="60" t="n">
        <x:f>IFERROR(MAXIFS(Purchases!$B:$B,Purchases!$D:$D,B13),"")</x:f>
        <x:v>0</x:v>
      </x:c>
      <x:c r="O13" s="50"/>
    </x:row>
    <x:row r="14">
      <x:c r="A14" s="53"/>
      <x:c r="B14" s="53"/>
      <x:c r="C14" s="53"/>
      <x:c r="D14" s="53"/>
      <x:c r="E14" s="58"/>
      <x:c r="F14" s="58"/>
      <x:c r="G14" s="59"/>
      <x:c r="H14" s="59" t="n">
        <x:f>SUMIF(Purchases!$D:$D,B14,Purchases!$F:$F)</x:f>
        <x:v>0</x:v>
      </x:c>
      <x:c r="I14" s="59" t="n">
        <x:f>SUMIF(Sales!$D:$D,B14,Sales!$G:$G)</x:f>
        <x:v>0</x:v>
      </x:c>
      <x:c r="J14" s="59" t="n">
        <x:f>G14+H14-I14</x:f>
        <x:v>0</x:v>
      </x:c>
      <x:c r="K14" s="58" t="n">
        <x:f>J14*E14</x:f>
        <x:v>0</x:v>
      </x:c>
      <x:c r="L14" s="59"/>
      <x:c r="M14" s="53"/>
      <x:c r="N14" s="60" t="n">
        <x:f>IFERROR(MAXIFS(Purchases!$B:$B,Purchases!$D:$D,B14),"")</x:f>
        <x:v>0</x:v>
      </x:c>
      <x:c r="O14" s="50"/>
    </x:row>
    <x:row r="15">
      <x:c r="A15" s="53"/>
      <x:c r="B15" s="53"/>
      <x:c r="C15" s="53"/>
      <x:c r="D15" s="53"/>
      <x:c r="E15" s="58"/>
      <x:c r="F15" s="58"/>
      <x:c r="G15" s="59"/>
      <x:c r="H15" s="59" t="n">
        <x:f>SUMIF(Purchases!$D:$D,B15,Purchases!$F:$F)</x:f>
        <x:v>0</x:v>
      </x:c>
      <x:c r="I15" s="59" t="n">
        <x:f>SUMIF(Sales!$D:$D,B15,Sales!$G:$G)</x:f>
        <x:v>0</x:v>
      </x:c>
      <x:c r="J15" s="59" t="n">
        <x:f>G15+H15-I15</x:f>
        <x:v>0</x:v>
      </x:c>
      <x:c r="K15" s="58" t="n">
        <x:f>J15*E15</x:f>
        <x:v>0</x:v>
      </x:c>
      <x:c r="L15" s="59"/>
      <x:c r="M15" s="53"/>
      <x:c r="N15" s="60" t="n">
        <x:f>IFERROR(MAXIFS(Purchases!$B:$B,Purchases!$D:$D,B15),"")</x:f>
        <x:v>0</x:v>
      </x:c>
      <x:c r="O15" s="50"/>
    </x:row>
    <x:row r="16">
      <x:c r="A16" s="53"/>
      <x:c r="B16" s="53"/>
      <x:c r="C16" s="53"/>
      <x:c r="D16" s="53"/>
      <x:c r="E16" s="58"/>
      <x:c r="F16" s="58"/>
      <x:c r="G16" s="59"/>
      <x:c r="H16" s="59" t="n">
        <x:f>SUMIF(Purchases!$D:$D,B16,Purchases!$F:$F)</x:f>
        <x:v>0</x:v>
      </x:c>
      <x:c r="I16" s="59" t="n">
        <x:f>SUMIF(Sales!$D:$D,B16,Sales!$G:$G)</x:f>
        <x:v>0</x:v>
      </x:c>
      <x:c r="J16" s="59" t="n">
        <x:f>G16+H16-I16</x:f>
        <x:v>0</x:v>
      </x:c>
      <x:c r="K16" s="58" t="n">
        <x:f>J16*E16</x:f>
        <x:v>0</x:v>
      </x:c>
      <x:c r="L16" s="59"/>
      <x:c r="M16" s="53"/>
      <x:c r="N16" s="60" t="n">
        <x:f>IFERROR(MAXIFS(Purchases!$B:$B,Purchases!$D:$D,B16),"")</x:f>
        <x:v>0</x:v>
      </x:c>
      <x:c r="O16" s="50"/>
    </x:row>
    <x:row r="17">
      <x:c r="A17" s="53"/>
      <x:c r="B17" s="53"/>
      <x:c r="C17" s="53"/>
      <x:c r="D17" s="53"/>
      <x:c r="E17" s="58"/>
      <x:c r="F17" s="58"/>
      <x:c r="G17" s="59"/>
      <x:c r="H17" s="59" t="n">
        <x:f>SUMIF(Purchases!$D:$D,B17,Purchases!$F:$F)</x:f>
        <x:v>0</x:v>
      </x:c>
      <x:c r="I17" s="59" t="n">
        <x:f>SUMIF(Sales!$D:$D,B17,Sales!$G:$G)</x:f>
        <x:v>0</x:v>
      </x:c>
      <x:c r="J17" s="59" t="n">
        <x:f>G17+H17-I17</x:f>
        <x:v>0</x:v>
      </x:c>
      <x:c r="K17" s="58" t="n">
        <x:f>J17*E17</x:f>
        <x:v>0</x:v>
      </x:c>
      <x:c r="L17" s="59"/>
      <x:c r="M17" s="53"/>
      <x:c r="N17" s="60" t="n">
        <x:f>IFERROR(MAXIFS(Purchases!$B:$B,Purchases!$D:$D,B17),"")</x:f>
        <x:v>0</x:v>
      </x:c>
      <x:c r="O17" s="50"/>
    </x:row>
    <x:row r="18">
      <x:c r="A18" s="53"/>
      <x:c r="B18" s="53"/>
      <x:c r="C18" s="53"/>
      <x:c r="D18" s="53"/>
      <x:c r="E18" s="58"/>
      <x:c r="F18" s="58"/>
      <x:c r="G18" s="59"/>
      <x:c r="H18" s="59" t="n">
        <x:f>SUMIF(Purchases!$D:$D,B18,Purchases!$F:$F)</x:f>
        <x:v>0</x:v>
      </x:c>
      <x:c r="I18" s="59" t="n">
        <x:f>SUMIF(Sales!$D:$D,B18,Sales!$G:$G)</x:f>
        <x:v>0</x:v>
      </x:c>
      <x:c r="J18" s="59" t="n">
        <x:f>G18+H18-I18</x:f>
        <x:v>0</x:v>
      </x:c>
      <x:c r="K18" s="58" t="n">
        <x:f>J18*E18</x:f>
        <x:v>0</x:v>
      </x:c>
      <x:c r="L18" s="59"/>
      <x:c r="M18" s="53"/>
      <x:c r="N18" s="60" t="n">
        <x:f>IFERROR(MAXIFS(Purchases!$B:$B,Purchases!$D:$D,B18),"")</x:f>
        <x:v>0</x:v>
      </x:c>
      <x:c r="O18" s="50"/>
    </x:row>
    <x:row r="19">
      <x:c r="A19" s="53"/>
      <x:c r="B19" s="53"/>
      <x:c r="C19" s="53"/>
      <x:c r="D19" s="53"/>
      <x:c r="E19" s="58"/>
      <x:c r="F19" s="58"/>
      <x:c r="G19" s="59"/>
      <x:c r="H19" s="59" t="n">
        <x:f>SUMIF(Purchases!$D:$D,B19,Purchases!$F:$F)</x:f>
        <x:v>0</x:v>
      </x:c>
      <x:c r="I19" s="59" t="n">
        <x:f>SUMIF(Sales!$D:$D,B19,Sales!$G:$G)</x:f>
        <x:v>0</x:v>
      </x:c>
      <x:c r="J19" s="59" t="n">
        <x:f>G19+H19-I19</x:f>
        <x:v>0</x:v>
      </x:c>
      <x:c r="K19" s="58" t="n">
        <x:f>J19*E19</x:f>
        <x:v>0</x:v>
      </x:c>
      <x:c r="L19" s="59"/>
      <x:c r="M19" s="53"/>
      <x:c r="N19" s="60" t="n">
        <x:f>IFERROR(MAXIFS(Purchases!$B:$B,Purchases!$D:$D,B19),"")</x:f>
        <x:v>0</x:v>
      </x:c>
      <x:c r="O19" s="50"/>
    </x:row>
    <x:row r="20">
      <x:c r="A20" s="53"/>
      <x:c r="B20" s="53"/>
      <x:c r="C20" s="53"/>
      <x:c r="D20" s="53"/>
      <x:c r="E20" s="58"/>
      <x:c r="F20" s="58"/>
      <x:c r="G20" s="59"/>
      <x:c r="H20" s="59" t="n">
        <x:f>SUMIF(Purchases!$D:$D,B20,Purchases!$F:$F)</x:f>
        <x:v>0</x:v>
      </x:c>
      <x:c r="I20" s="59" t="n">
        <x:f>SUMIF(Sales!$D:$D,B20,Sales!$G:$G)</x:f>
        <x:v>0</x:v>
      </x:c>
      <x:c r="J20" s="59" t="n">
        <x:f>G20+H20-I20</x:f>
        <x:v>0</x:v>
      </x:c>
      <x:c r="K20" s="58" t="n">
        <x:f>J20*E20</x:f>
        <x:v>0</x:v>
      </x:c>
      <x:c r="L20" s="59"/>
      <x:c r="M20" s="53"/>
      <x:c r="N20" s="60" t="n">
        <x:f>IFERROR(MAXIFS(Purchases!$B:$B,Purchases!$D:$D,B20),"")</x:f>
        <x:v>0</x:v>
      </x:c>
      <x:c r="O20" s="50"/>
    </x:row>
    <x:row r="21">
      <x:c r="A21" s="53"/>
      <x:c r="B21" s="53"/>
      <x:c r="C21" s="53"/>
      <x:c r="D21" s="53"/>
      <x:c r="E21" s="58"/>
      <x:c r="F21" s="58"/>
      <x:c r="G21" s="59"/>
      <x:c r="H21" s="59" t="n">
        <x:f>SUMIF(Purchases!$D:$D,B21,Purchases!$F:$F)</x:f>
        <x:v>0</x:v>
      </x:c>
      <x:c r="I21" s="59" t="n">
        <x:f>SUMIF(Sales!$D:$D,B21,Sales!$G:$G)</x:f>
        <x:v>0</x:v>
      </x:c>
      <x:c r="J21" s="59" t="n">
        <x:f>G21+H21-I21</x:f>
        <x:v>0</x:v>
      </x:c>
      <x:c r="K21" s="58" t="n">
        <x:f>J21*E21</x:f>
        <x:v>0</x:v>
      </x:c>
      <x:c r="L21" s="59"/>
      <x:c r="M21" s="53"/>
      <x:c r="N21" s="60" t="n">
        <x:f>IFERROR(MAXIFS(Purchases!$B:$B,Purchases!$D:$D,B21),"")</x:f>
        <x:v>0</x:v>
      </x:c>
      <x:c r="O21" s="50"/>
    </x:row>
    <x:row r="22">
      <x:c r="A22" s="53"/>
      <x:c r="B22" s="53"/>
      <x:c r="C22" s="53"/>
      <x:c r="D22" s="53"/>
      <x:c r="E22" s="58"/>
      <x:c r="F22" s="58"/>
      <x:c r="G22" s="59"/>
      <x:c r="H22" s="59" t="n">
        <x:f>SUMIF(Purchases!$D:$D,B22,Purchases!$F:$F)</x:f>
        <x:v>0</x:v>
      </x:c>
      <x:c r="I22" s="59" t="n">
        <x:f>SUMIF(Sales!$D:$D,B22,Sales!$G:$G)</x:f>
        <x:v>0</x:v>
      </x:c>
      <x:c r="J22" s="59" t="n">
        <x:f>G22+H22-I22</x:f>
        <x:v>0</x:v>
      </x:c>
      <x:c r="K22" s="58" t="n">
        <x:f>J22*E22</x:f>
        <x:v>0</x:v>
      </x:c>
      <x:c r="L22" s="59"/>
      <x:c r="M22" s="53"/>
      <x:c r="N22" s="60" t="n">
        <x:f>IFERROR(MAXIFS(Purchases!$B:$B,Purchases!$D:$D,B22),"")</x:f>
        <x:v>0</x:v>
      </x:c>
      <x:c r="O22" s="50"/>
    </x:row>
    <x:row r="23">
      <x:c r="A23" s="53"/>
      <x:c r="B23" s="53"/>
      <x:c r="C23" s="53"/>
      <x:c r="D23" s="53"/>
      <x:c r="E23" s="58"/>
      <x:c r="F23" s="58"/>
      <x:c r="G23" s="59"/>
      <x:c r="H23" s="59" t="n">
        <x:f>SUMIF(Purchases!$D:$D,B23,Purchases!$F:$F)</x:f>
        <x:v>0</x:v>
      </x:c>
      <x:c r="I23" s="59" t="n">
        <x:f>SUMIF(Sales!$D:$D,B23,Sales!$G:$G)</x:f>
        <x:v>0</x:v>
      </x:c>
      <x:c r="J23" s="59" t="n">
        <x:f>G23+H23-I23</x:f>
        <x:v>0</x:v>
      </x:c>
      <x:c r="K23" s="58" t="n">
        <x:f>J23*E23</x:f>
        <x:v>0</x:v>
      </x:c>
      <x:c r="L23" s="59"/>
      <x:c r="M23" s="53"/>
      <x:c r="N23" s="60" t="n">
        <x:f>IFERROR(MAXIFS(Purchases!$B:$B,Purchases!$D:$D,B23),"")</x:f>
        <x:v>0</x:v>
      </x:c>
      <x:c r="O23" s="50"/>
    </x:row>
    <x:row r="24">
      <x:c r="A24" s="53"/>
      <x:c r="B24" s="53"/>
      <x:c r="C24" s="53"/>
      <x:c r="D24" s="53"/>
      <x:c r="E24" s="58"/>
      <x:c r="F24" s="58"/>
      <x:c r="G24" s="59"/>
      <x:c r="H24" s="59" t="n">
        <x:f>SUMIF(Purchases!$D:$D,B24,Purchases!$F:$F)</x:f>
        <x:v>0</x:v>
      </x:c>
      <x:c r="I24" s="59" t="n">
        <x:f>SUMIF(Sales!$D:$D,B24,Sales!$G:$G)</x:f>
        <x:v>0</x:v>
      </x:c>
      <x:c r="J24" s="59" t="n">
        <x:f>G24+H24-I24</x:f>
        <x:v>0</x:v>
      </x:c>
      <x:c r="K24" s="58" t="n">
        <x:f>J24*E24</x:f>
        <x:v>0</x:v>
      </x:c>
      <x:c r="L24" s="59"/>
      <x:c r="M24" s="53"/>
      <x:c r="N24" s="60" t="n">
        <x:f>IFERROR(MAXIFS(Purchases!$B:$B,Purchases!$D:$D,B24),"")</x:f>
        <x:v>0</x:v>
      </x:c>
      <x:c r="O24" s="50"/>
    </x:row>
    <x:row r="25">
      <x:c r="A25" s="53"/>
      <x:c r="B25" s="53"/>
      <x:c r="C25" s="53"/>
      <x:c r="D25" s="53"/>
      <x:c r="E25" s="58"/>
      <x:c r="F25" s="58"/>
      <x:c r="G25" s="59"/>
      <x:c r="H25" s="59" t="n">
        <x:f>SUMIF(Purchases!$D:$D,B25,Purchases!$F:$F)</x:f>
        <x:v>0</x:v>
      </x:c>
      <x:c r="I25" s="59" t="n">
        <x:f>SUMIF(Sales!$D:$D,B25,Sales!$G:$G)</x:f>
        <x:v>0</x:v>
      </x:c>
      <x:c r="J25" s="59" t="n">
        <x:f>G25+H25-I25</x:f>
        <x:v>0</x:v>
      </x:c>
      <x:c r="K25" s="58" t="n">
        <x:f>J25*E25</x:f>
        <x:v>0</x:v>
      </x:c>
      <x:c r="L25" s="59"/>
      <x:c r="M25" s="53"/>
      <x:c r="N25" s="60" t="n">
        <x:f>IFERROR(MAXIFS(Purchases!$B:$B,Purchases!$D:$D,B25),"")</x:f>
        <x:v>0</x:v>
      </x:c>
      <x:c r="O25" s="50"/>
    </x:row>
    <x:row r="26">
      <x:c r="A26" s="53"/>
      <x:c r="B26" s="53"/>
      <x:c r="C26" s="53"/>
      <x:c r="D26" s="53"/>
      <x:c r="E26" s="58"/>
      <x:c r="F26" s="58"/>
      <x:c r="G26" s="59"/>
      <x:c r="H26" s="59" t="n">
        <x:f>SUMIF(Purchases!$D:$D,B26,Purchases!$F:$F)</x:f>
        <x:v>0</x:v>
      </x:c>
      <x:c r="I26" s="59" t="n">
        <x:f>SUMIF(Sales!$D:$D,B26,Sales!$G:$G)</x:f>
        <x:v>0</x:v>
      </x:c>
      <x:c r="J26" s="59" t="n">
        <x:f>G26+H26-I26</x:f>
        <x:v>0</x:v>
      </x:c>
      <x:c r="K26" s="58" t="n">
        <x:f>J26*E26</x:f>
        <x:v>0</x:v>
      </x:c>
      <x:c r="L26" s="59"/>
      <x:c r="M26" s="53"/>
      <x:c r="N26" s="60" t="n">
        <x:f>IFERROR(MAXIFS(Purchases!$B:$B,Purchases!$D:$D,B26),"")</x:f>
        <x:v>0</x:v>
      </x:c>
      <x:c r="O26" s="50"/>
    </x:row>
    <x:row r="27">
      <x:c r="A27" s="53"/>
      <x:c r="B27" s="53"/>
      <x:c r="C27" s="53"/>
      <x:c r="D27" s="53"/>
      <x:c r="E27" s="58"/>
      <x:c r="F27" s="58"/>
      <x:c r="G27" s="59"/>
      <x:c r="H27" s="59" t="n">
        <x:f>SUMIF(Purchases!$D:$D,B27,Purchases!$F:$F)</x:f>
        <x:v>0</x:v>
      </x:c>
      <x:c r="I27" s="59" t="n">
        <x:f>SUMIF(Sales!$D:$D,B27,Sales!$G:$G)</x:f>
        <x:v>0</x:v>
      </x:c>
      <x:c r="J27" s="59" t="n">
        <x:f>G27+H27-I27</x:f>
        <x:v>0</x:v>
      </x:c>
      <x:c r="K27" s="58" t="n">
        <x:f>J27*E27</x:f>
        <x:v>0</x:v>
      </x:c>
      <x:c r="L27" s="59"/>
      <x:c r="M27" s="53"/>
      <x:c r="N27" s="60" t="n">
        <x:f>IFERROR(MAXIFS(Purchases!$B:$B,Purchases!$D:$D,B27),"")</x:f>
        <x:v>0</x:v>
      </x:c>
      <x:c r="O27" s="50"/>
    </x:row>
    <x:row r="28">
      <x:c r="A28" s="53"/>
      <x:c r="B28" s="53"/>
      <x:c r="C28" s="53"/>
      <x:c r="D28" s="53"/>
      <x:c r="E28" s="58"/>
      <x:c r="F28" s="58"/>
      <x:c r="G28" s="59"/>
      <x:c r="H28" s="59" t="n">
        <x:f>SUMIF(Purchases!$D:$D,B28,Purchases!$F:$F)</x:f>
        <x:v>0</x:v>
      </x:c>
      <x:c r="I28" s="59" t="n">
        <x:f>SUMIF(Sales!$D:$D,B28,Sales!$G:$G)</x:f>
        <x:v>0</x:v>
      </x:c>
      <x:c r="J28" s="59" t="n">
        <x:f>G28+H28-I28</x:f>
        <x:v>0</x:v>
      </x:c>
      <x:c r="K28" s="58" t="n">
        <x:f>J28*E28</x:f>
        <x:v>0</x:v>
      </x:c>
      <x:c r="L28" s="59"/>
      <x:c r="M28" s="53"/>
      <x:c r="N28" s="60" t="n">
        <x:f>IFERROR(MAXIFS(Purchases!$B:$B,Purchases!$D:$D,B28),"")</x:f>
        <x:v>0</x:v>
      </x:c>
      <x:c r="O28" s="50"/>
    </x:row>
    <x:row r="29">
      <x:c r="A29" s="53"/>
      <x:c r="B29" s="53"/>
      <x:c r="C29" s="53"/>
      <x:c r="D29" s="53"/>
      <x:c r="E29" s="58"/>
      <x:c r="F29" s="58"/>
      <x:c r="G29" s="59"/>
      <x:c r="H29" s="59" t="n">
        <x:f>SUMIF(Purchases!$D:$D,B29,Purchases!$F:$F)</x:f>
        <x:v>0</x:v>
      </x:c>
      <x:c r="I29" s="59" t="n">
        <x:f>SUMIF(Sales!$D:$D,B29,Sales!$G:$G)</x:f>
        <x:v>0</x:v>
      </x:c>
      <x:c r="J29" s="59" t="n">
        <x:f>G29+H29-I29</x:f>
        <x:v>0</x:v>
      </x:c>
      <x:c r="K29" s="58" t="n">
        <x:f>J29*E29</x:f>
        <x:v>0</x:v>
      </x:c>
      <x:c r="L29" s="59"/>
      <x:c r="M29" s="53"/>
      <x:c r="N29" s="60" t="n">
        <x:f>IFERROR(MAXIFS(Purchases!$B:$B,Purchases!$D:$D,B29),"")</x:f>
        <x:v>0</x:v>
      </x:c>
      <x:c r="O29" s="50"/>
    </x:row>
    <x:row r="30">
      <x:c r="A30" s="53"/>
      <x:c r="B30" s="53"/>
      <x:c r="C30" s="53"/>
      <x:c r="D30" s="53"/>
      <x:c r="E30" s="58"/>
      <x:c r="F30" s="58"/>
      <x:c r="G30" s="59"/>
      <x:c r="H30" s="59" t="n">
        <x:f>SUMIF(Purchases!$D:$D,B30,Purchases!$F:$F)</x:f>
        <x:v>0</x:v>
      </x:c>
      <x:c r="I30" s="59" t="n">
        <x:f>SUMIF(Sales!$D:$D,B30,Sales!$G:$G)</x:f>
        <x:v>0</x:v>
      </x:c>
      <x:c r="J30" s="59" t="n">
        <x:f>G30+H30-I30</x:f>
        <x:v>0</x:v>
      </x:c>
      <x:c r="K30" s="58" t="n">
        <x:f>J30*E30</x:f>
        <x:v>0</x:v>
      </x:c>
      <x:c r="L30" s="59"/>
      <x:c r="M30" s="53"/>
      <x:c r="N30" s="60" t="n">
        <x:f>IFERROR(MAXIFS(Purchases!$B:$B,Purchases!$D:$D,B30),"")</x:f>
        <x:v>0</x:v>
      </x:c>
      <x:c r="O30" s="50"/>
    </x:row>
    <x:row r="31">
      <x:c r="A31" s="53"/>
      <x:c r="B31" s="53"/>
      <x:c r="C31" s="53"/>
      <x:c r="D31" s="53"/>
      <x:c r="E31" s="58"/>
      <x:c r="F31" s="58"/>
      <x:c r="G31" s="59"/>
      <x:c r="H31" s="59" t="n">
        <x:f>SUMIF(Purchases!$D:$D,B31,Purchases!$F:$F)</x:f>
        <x:v>0</x:v>
      </x:c>
      <x:c r="I31" s="59" t="n">
        <x:f>SUMIF(Sales!$D:$D,B31,Sales!$G:$G)</x:f>
        <x:v>0</x:v>
      </x:c>
      <x:c r="J31" s="59" t="n">
        <x:f>G31+H31-I31</x:f>
        <x:v>0</x:v>
      </x:c>
      <x:c r="K31" s="58" t="n">
        <x:f>J31*E31</x:f>
        <x:v>0</x:v>
      </x:c>
      <x:c r="L31" s="59"/>
      <x:c r="M31" s="53"/>
      <x:c r="N31" s="60" t="n">
        <x:f>IFERROR(MAXIFS(Purchases!$B:$B,Purchases!$D:$D,B31),"")</x:f>
        <x:v>0</x:v>
      </x:c>
      <x:c r="O31" s="50"/>
    </x:row>
    <x:row r="32">
      <x:c r="A32" s="53"/>
      <x:c r="B32" s="53"/>
      <x:c r="C32" s="53"/>
      <x:c r="D32" s="53"/>
      <x:c r="E32" s="58"/>
      <x:c r="F32" s="58"/>
      <x:c r="G32" s="59"/>
      <x:c r="H32" s="59" t="n">
        <x:f>SUMIF(Purchases!$D:$D,B32,Purchases!$F:$F)</x:f>
        <x:v>0</x:v>
      </x:c>
      <x:c r="I32" s="59" t="n">
        <x:f>SUMIF(Sales!$D:$D,B32,Sales!$G:$G)</x:f>
        <x:v>0</x:v>
      </x:c>
      <x:c r="J32" s="59" t="n">
        <x:f>G32+H32-I32</x:f>
        <x:v>0</x:v>
      </x:c>
      <x:c r="K32" s="58" t="n">
        <x:f>J32*E32</x:f>
        <x:v>0</x:v>
      </x:c>
      <x:c r="L32" s="59"/>
      <x:c r="M32" s="53"/>
      <x:c r="N32" s="60" t="n">
        <x:f>IFERROR(MAXIFS(Purchases!$B:$B,Purchases!$D:$D,B32),"")</x:f>
        <x:v>0</x:v>
      </x:c>
      <x:c r="O32" s="50"/>
    </x:row>
    <x:row r="33">
      <x:c r="A33" s="53"/>
      <x:c r="B33" s="53"/>
      <x:c r="C33" s="53"/>
      <x:c r="D33" s="53"/>
      <x:c r="E33" s="58"/>
      <x:c r="F33" s="58"/>
      <x:c r="G33" s="59"/>
      <x:c r="H33" s="59" t="n">
        <x:f>SUMIF(Purchases!$D:$D,B33,Purchases!$F:$F)</x:f>
        <x:v>0</x:v>
      </x:c>
      <x:c r="I33" s="59" t="n">
        <x:f>SUMIF(Sales!$D:$D,B33,Sales!$G:$G)</x:f>
        <x:v>0</x:v>
      </x:c>
      <x:c r="J33" s="59" t="n">
        <x:f>G33+H33-I33</x:f>
        <x:v>0</x:v>
      </x:c>
      <x:c r="K33" s="58" t="n">
        <x:f>J33*E33</x:f>
        <x:v>0</x:v>
      </x:c>
      <x:c r="L33" s="59"/>
      <x:c r="M33" s="53"/>
      <x:c r="N33" s="60" t="n">
        <x:f>IFERROR(MAXIFS(Purchases!$B:$B,Purchases!$D:$D,B33),"")</x:f>
        <x:v>0</x:v>
      </x:c>
      <x:c r="O33" s="50"/>
    </x:row>
    <x:row r="34">
      <x:c r="A34" s="53"/>
      <x:c r="B34" s="53"/>
      <x:c r="C34" s="53"/>
      <x:c r="D34" s="53"/>
      <x:c r="E34" s="58"/>
      <x:c r="F34" s="58"/>
      <x:c r="G34" s="59"/>
      <x:c r="H34" s="59" t="n">
        <x:f>SUMIF(Purchases!$D:$D,B34,Purchases!$F:$F)</x:f>
        <x:v>0</x:v>
      </x:c>
      <x:c r="I34" s="59" t="n">
        <x:f>SUMIF(Sales!$D:$D,B34,Sales!$G:$G)</x:f>
        <x:v>0</x:v>
      </x:c>
      <x:c r="J34" s="59" t="n">
        <x:f>G34+H34-I34</x:f>
        <x:v>0</x:v>
      </x:c>
      <x:c r="K34" s="58" t="n">
        <x:f>J34*E34</x:f>
        <x:v>0</x:v>
      </x:c>
      <x:c r="L34" s="59"/>
      <x:c r="M34" s="53"/>
      <x:c r="N34" s="60" t="n">
        <x:f>IFERROR(MAXIFS(Purchases!$B:$B,Purchases!$D:$D,B34),"")</x:f>
        <x:v>0</x:v>
      </x:c>
      <x:c r="O34" s="50"/>
    </x:row>
    <x:row r="35">
      <x:c r="A35" s="53"/>
      <x:c r="B35" s="53"/>
      <x:c r="C35" s="53"/>
      <x:c r="D35" s="53"/>
      <x:c r="E35" s="58"/>
      <x:c r="F35" s="58"/>
      <x:c r="G35" s="59"/>
      <x:c r="H35" s="59" t="n">
        <x:f>SUMIF(Purchases!$D:$D,B35,Purchases!$F:$F)</x:f>
        <x:v>0</x:v>
      </x:c>
      <x:c r="I35" s="59" t="n">
        <x:f>SUMIF(Sales!$D:$D,B35,Sales!$G:$G)</x:f>
        <x:v>0</x:v>
      </x:c>
      <x:c r="J35" s="59" t="n">
        <x:f>G35+H35-I35</x:f>
        <x:v>0</x:v>
      </x:c>
      <x:c r="K35" s="58" t="n">
        <x:f>J35*E35</x:f>
        <x:v>0</x:v>
      </x:c>
      <x:c r="L35" s="59"/>
      <x:c r="M35" s="53"/>
      <x:c r="N35" s="60" t="n">
        <x:f>IFERROR(MAXIFS(Purchases!$B:$B,Purchases!$D:$D,B35),"")</x:f>
        <x:v>0</x:v>
      </x:c>
      <x:c r="O35" s="50"/>
    </x:row>
    <x:row r="36">
      <x:c r="A36" s="53"/>
      <x:c r="B36" s="53"/>
      <x:c r="C36" s="53"/>
      <x:c r="D36" s="53"/>
      <x:c r="E36" s="58"/>
      <x:c r="F36" s="58"/>
      <x:c r="G36" s="59"/>
      <x:c r="H36" s="59" t="n">
        <x:f>SUMIF(Purchases!$D:$D,B36,Purchases!$F:$F)</x:f>
        <x:v>0</x:v>
      </x:c>
      <x:c r="I36" s="59" t="n">
        <x:f>SUMIF(Sales!$D:$D,B36,Sales!$G:$G)</x:f>
        <x:v>0</x:v>
      </x:c>
      <x:c r="J36" s="59" t="n">
        <x:f>G36+H36-I36</x:f>
        <x:v>0</x:v>
      </x:c>
      <x:c r="K36" s="58" t="n">
        <x:f>J36*E36</x:f>
        <x:v>0</x:v>
      </x:c>
      <x:c r="L36" s="59"/>
      <x:c r="M36" s="53"/>
      <x:c r="N36" s="60" t="n">
        <x:f>IFERROR(MAXIFS(Purchases!$B:$B,Purchases!$D:$D,B36),"")</x:f>
        <x:v>0</x:v>
      </x:c>
      <x:c r="O36" s="50"/>
    </x:row>
    <x:row r="37">
      <x:c r="A37" s="53"/>
      <x:c r="B37" s="53"/>
      <x:c r="C37" s="53"/>
      <x:c r="D37" s="53"/>
      <x:c r="E37" s="58"/>
      <x:c r="F37" s="58"/>
      <x:c r="G37" s="59"/>
      <x:c r="H37" s="59" t="n">
        <x:f>SUMIF(Purchases!$D:$D,B37,Purchases!$F:$F)</x:f>
        <x:v>0</x:v>
      </x:c>
      <x:c r="I37" s="59" t="n">
        <x:f>SUMIF(Sales!$D:$D,B37,Sales!$G:$G)</x:f>
        <x:v>0</x:v>
      </x:c>
      <x:c r="J37" s="59" t="n">
        <x:f>G37+H37-I37</x:f>
        <x:v>0</x:v>
      </x:c>
      <x:c r="K37" s="58" t="n">
        <x:f>J37*E37</x:f>
        <x:v>0</x:v>
      </x:c>
      <x:c r="L37" s="59"/>
      <x:c r="M37" s="53"/>
      <x:c r="N37" s="60" t="n">
        <x:f>IFERROR(MAXIFS(Purchases!$B:$B,Purchases!$D:$D,B37),"")</x:f>
        <x:v>0</x:v>
      </x:c>
      <x:c r="O37" s="50"/>
    </x:row>
    <x:row r="38">
      <x:c r="A38" s="53"/>
      <x:c r="B38" s="53"/>
      <x:c r="C38" s="53"/>
      <x:c r="D38" s="53"/>
      <x:c r="E38" s="58"/>
      <x:c r="F38" s="58"/>
      <x:c r="G38" s="59"/>
      <x:c r="H38" s="59" t="n">
        <x:f>SUMIF(Purchases!$D:$D,B38,Purchases!$F:$F)</x:f>
        <x:v>0</x:v>
      </x:c>
      <x:c r="I38" s="59" t="n">
        <x:f>SUMIF(Sales!$D:$D,B38,Sales!$G:$G)</x:f>
        <x:v>0</x:v>
      </x:c>
      <x:c r="J38" s="59" t="n">
        <x:f>G38+H38-I38</x:f>
        <x:v>0</x:v>
      </x:c>
      <x:c r="K38" s="58" t="n">
        <x:f>J38*E38</x:f>
        <x:v>0</x:v>
      </x:c>
      <x:c r="L38" s="59"/>
      <x:c r="M38" s="53"/>
      <x:c r="N38" s="60" t="n">
        <x:f>IFERROR(MAXIFS(Purchases!$B:$B,Purchases!$D:$D,B38),"")</x:f>
        <x:v>0</x:v>
      </x:c>
      <x:c r="O38" s="50"/>
    </x:row>
    <x:row r="39">
      <x:c r="A39" s="53"/>
      <x:c r="B39" s="53"/>
      <x:c r="C39" s="53"/>
      <x:c r="D39" s="53"/>
      <x:c r="E39" s="58"/>
      <x:c r="F39" s="58"/>
      <x:c r="G39" s="59"/>
      <x:c r="H39" s="59" t="n">
        <x:f>SUMIF(Purchases!$D:$D,B39,Purchases!$F:$F)</x:f>
        <x:v>0</x:v>
      </x:c>
      <x:c r="I39" s="59" t="n">
        <x:f>SUMIF(Sales!$D:$D,B39,Sales!$G:$G)</x:f>
        <x:v>0</x:v>
      </x:c>
      <x:c r="J39" s="59" t="n">
        <x:f>G39+H39-I39</x:f>
        <x:v>0</x:v>
      </x:c>
      <x:c r="K39" s="58" t="n">
        <x:f>J39*E39</x:f>
        <x:v>0</x:v>
      </x:c>
      <x:c r="L39" s="59"/>
      <x:c r="M39" s="53"/>
      <x:c r="N39" s="60" t="n">
        <x:f>IFERROR(MAXIFS(Purchases!$B:$B,Purchases!$D:$D,B39),"")</x:f>
        <x:v>0</x:v>
      </x:c>
      <x:c r="O39" s="50"/>
    </x:row>
    <x:row r="40">
      <x:c r="A40" s="53"/>
      <x:c r="B40" s="53"/>
      <x:c r="C40" s="53"/>
      <x:c r="D40" s="53"/>
      <x:c r="E40" s="58"/>
      <x:c r="F40" s="58"/>
      <x:c r="G40" s="59"/>
      <x:c r="H40" s="59" t="n">
        <x:f>SUMIF(Purchases!$D:$D,B40,Purchases!$F:$F)</x:f>
        <x:v>0</x:v>
      </x:c>
      <x:c r="I40" s="59" t="n">
        <x:f>SUMIF(Sales!$D:$D,B40,Sales!$G:$G)</x:f>
        <x:v>0</x:v>
      </x:c>
      <x:c r="J40" s="59" t="n">
        <x:f>G40+H40-I40</x:f>
        <x:v>0</x:v>
      </x:c>
      <x:c r="K40" s="58" t="n">
        <x:f>J40*E40</x:f>
        <x:v>0</x:v>
      </x:c>
      <x:c r="L40" s="59"/>
      <x:c r="M40" s="53"/>
      <x:c r="N40" s="60" t="n">
        <x:f>IFERROR(MAXIFS(Purchases!$B:$B,Purchases!$D:$D,B40),"")</x:f>
        <x:v>0</x:v>
      </x:c>
      <x:c r="O40" s="50"/>
    </x:row>
    <x:row r="41">
      <x:c r="A41" s="53"/>
      <x:c r="B41" s="53"/>
      <x:c r="C41" s="53"/>
      <x:c r="D41" s="53"/>
      <x:c r="E41" s="58"/>
      <x:c r="F41" s="58"/>
      <x:c r="G41" s="59"/>
      <x:c r="H41" s="59" t="n">
        <x:f>SUMIF(Purchases!$D:$D,B41,Purchases!$F:$F)</x:f>
        <x:v>0</x:v>
      </x:c>
      <x:c r="I41" s="59" t="n">
        <x:f>SUMIF(Sales!$D:$D,B41,Sales!$G:$G)</x:f>
        <x:v>0</x:v>
      </x:c>
      <x:c r="J41" s="59" t="n">
        <x:f>G41+H41-I41</x:f>
        <x:v>0</x:v>
      </x:c>
      <x:c r="K41" s="58" t="n">
        <x:f>J41*E41</x:f>
        <x:v>0</x:v>
      </x:c>
      <x:c r="L41" s="59"/>
      <x:c r="M41" s="53"/>
      <x:c r="N41" s="60" t="n">
        <x:f>IFERROR(MAXIFS(Purchases!$B:$B,Purchases!$D:$D,B41),"")</x:f>
        <x:v>0</x:v>
      </x:c>
      <x:c r="O41" s="50"/>
    </x:row>
    <x:row r="42">
      <x:c r="A42" s="53"/>
      <x:c r="B42" s="53"/>
      <x:c r="C42" s="53"/>
      <x:c r="D42" s="53"/>
      <x:c r="E42" s="58"/>
      <x:c r="F42" s="58"/>
      <x:c r="G42" s="59"/>
      <x:c r="H42" s="59" t="n">
        <x:f>SUMIF(Purchases!$D:$D,B42,Purchases!$F:$F)</x:f>
        <x:v>0</x:v>
      </x:c>
      <x:c r="I42" s="59" t="n">
        <x:f>SUMIF(Sales!$D:$D,B42,Sales!$G:$G)</x:f>
        <x:v>0</x:v>
      </x:c>
      <x:c r="J42" s="59" t="n">
        <x:f>G42+H42-I42</x:f>
        <x:v>0</x:v>
      </x:c>
      <x:c r="K42" s="58" t="n">
        <x:f>J42*E42</x:f>
        <x:v>0</x:v>
      </x:c>
      <x:c r="L42" s="59"/>
      <x:c r="M42" s="53"/>
      <x:c r="N42" s="60" t="n">
        <x:f>IFERROR(MAXIFS(Purchases!$B:$B,Purchases!$D:$D,B42),"")</x:f>
        <x:v>0</x:v>
      </x:c>
      <x:c r="O42" s="50"/>
    </x:row>
    <x:row r="43">
      <x:c r="A43" s="53"/>
      <x:c r="B43" s="53"/>
      <x:c r="C43" s="53"/>
      <x:c r="D43" s="53"/>
      <x:c r="E43" s="58"/>
      <x:c r="F43" s="58"/>
      <x:c r="G43" s="59"/>
      <x:c r="H43" s="59" t="n">
        <x:f>SUMIF(Purchases!$D:$D,B43,Purchases!$F:$F)</x:f>
        <x:v>0</x:v>
      </x:c>
      <x:c r="I43" s="59" t="n">
        <x:f>SUMIF(Sales!$D:$D,B43,Sales!$G:$G)</x:f>
        <x:v>0</x:v>
      </x:c>
      <x:c r="J43" s="59" t="n">
        <x:f>G43+H43-I43</x:f>
        <x:v>0</x:v>
      </x:c>
      <x:c r="K43" s="58" t="n">
        <x:f>J43*E43</x:f>
        <x:v>0</x:v>
      </x:c>
      <x:c r="L43" s="59"/>
      <x:c r="M43" s="53"/>
      <x:c r="N43" s="60" t="n">
        <x:f>IFERROR(MAXIFS(Purchases!$B:$B,Purchases!$D:$D,B43),"")</x:f>
        <x:v>0</x:v>
      </x:c>
      <x:c r="O43" s="50"/>
    </x:row>
    <x:row r="44">
      <x:c r="A44" s="53"/>
      <x:c r="B44" s="53"/>
      <x:c r="C44" s="53"/>
      <x:c r="D44" s="53"/>
      <x:c r="E44" s="58"/>
      <x:c r="F44" s="58"/>
      <x:c r="G44" s="59"/>
      <x:c r="H44" s="59" t="n">
        <x:f>SUMIF(Purchases!$D:$D,B44,Purchases!$F:$F)</x:f>
        <x:v>0</x:v>
      </x:c>
      <x:c r="I44" s="59" t="n">
        <x:f>SUMIF(Sales!$D:$D,B44,Sales!$G:$G)</x:f>
        <x:v>0</x:v>
      </x:c>
      <x:c r="J44" s="59" t="n">
        <x:f>G44+H44-I44</x:f>
        <x:v>0</x:v>
      </x:c>
      <x:c r="K44" s="58" t="n">
        <x:f>J44*E44</x:f>
        <x:v>0</x:v>
      </x:c>
      <x:c r="L44" s="59"/>
      <x:c r="M44" s="53"/>
      <x:c r="N44" s="60" t="n">
        <x:f>IFERROR(MAXIFS(Purchases!$B:$B,Purchases!$D:$D,B44),"")</x:f>
        <x:v>0</x:v>
      </x:c>
      <x:c r="O44" s="50"/>
    </x:row>
    <x:row r="45">
      <x:c r="A45" s="53"/>
      <x:c r="B45" s="53"/>
      <x:c r="C45" s="53"/>
      <x:c r="D45" s="53"/>
      <x:c r="E45" s="58"/>
      <x:c r="F45" s="58"/>
      <x:c r="G45" s="59"/>
      <x:c r="H45" s="59" t="n">
        <x:f>SUMIF(Purchases!$D:$D,B45,Purchases!$F:$F)</x:f>
        <x:v>0</x:v>
      </x:c>
      <x:c r="I45" s="59" t="n">
        <x:f>SUMIF(Sales!$D:$D,B45,Sales!$G:$G)</x:f>
        <x:v>0</x:v>
      </x:c>
      <x:c r="J45" s="59" t="n">
        <x:f>G45+H45-I45</x:f>
        <x:v>0</x:v>
      </x:c>
      <x:c r="K45" s="58" t="n">
        <x:f>J45*E45</x:f>
        <x:v>0</x:v>
      </x:c>
      <x:c r="L45" s="59"/>
      <x:c r="M45" s="53"/>
      <x:c r="N45" s="60" t="n">
        <x:f>IFERROR(MAXIFS(Purchases!$B:$B,Purchases!$D:$D,B45),"")</x:f>
        <x:v>0</x:v>
      </x:c>
      <x:c r="O45" s="50"/>
    </x:row>
    <x:row r="46">
      <x:c r="A46" s="53"/>
      <x:c r="B46" s="53"/>
      <x:c r="C46" s="53"/>
      <x:c r="D46" s="53"/>
      <x:c r="E46" s="58"/>
      <x:c r="F46" s="58"/>
      <x:c r="G46" s="59"/>
      <x:c r="H46" s="59" t="n">
        <x:f>SUMIF(Purchases!$D:$D,B46,Purchases!$F:$F)</x:f>
        <x:v>0</x:v>
      </x:c>
      <x:c r="I46" s="59" t="n">
        <x:f>SUMIF(Sales!$D:$D,B46,Sales!$G:$G)</x:f>
        <x:v>0</x:v>
      </x:c>
      <x:c r="J46" s="59" t="n">
        <x:f>G46+H46-I46</x:f>
        <x:v>0</x:v>
      </x:c>
      <x:c r="K46" s="58" t="n">
        <x:f>J46*E46</x:f>
        <x:v>0</x:v>
      </x:c>
      <x:c r="L46" s="59"/>
      <x:c r="M46" s="53"/>
      <x:c r="N46" s="60" t="n">
        <x:f>IFERROR(MAXIFS(Purchases!$B:$B,Purchases!$D:$D,B46),"")</x:f>
        <x:v>0</x:v>
      </x:c>
      <x:c r="O46" s="50"/>
    </x:row>
    <x:row r="47">
      <x:c r="A47" s="53"/>
      <x:c r="B47" s="53"/>
      <x:c r="C47" s="53"/>
      <x:c r="D47" s="53"/>
      <x:c r="E47" s="58"/>
      <x:c r="F47" s="58"/>
      <x:c r="G47" s="59"/>
      <x:c r="H47" s="59" t="n">
        <x:f>SUMIF(Purchases!$D:$D,B47,Purchases!$F:$F)</x:f>
        <x:v>0</x:v>
      </x:c>
      <x:c r="I47" s="59" t="n">
        <x:f>SUMIF(Sales!$D:$D,B47,Sales!$G:$G)</x:f>
        <x:v>0</x:v>
      </x:c>
      <x:c r="J47" s="59" t="n">
        <x:f>G47+H47-I47</x:f>
        <x:v>0</x:v>
      </x:c>
      <x:c r="K47" s="58" t="n">
        <x:f>J47*E47</x:f>
        <x:v>0</x:v>
      </x:c>
      <x:c r="L47" s="59"/>
      <x:c r="M47" s="53"/>
      <x:c r="N47" s="60" t="n">
        <x:f>IFERROR(MAXIFS(Purchases!$B:$B,Purchases!$D:$D,B47),"")</x:f>
        <x:v>0</x:v>
      </x:c>
      <x:c r="O47" s="50"/>
    </x:row>
    <x:row r="48">
      <x:c r="A48" s="53"/>
      <x:c r="B48" s="53"/>
      <x:c r="C48" s="53"/>
      <x:c r="D48" s="53"/>
      <x:c r="E48" s="58"/>
      <x:c r="F48" s="58"/>
      <x:c r="G48" s="59"/>
      <x:c r="H48" s="59" t="n">
        <x:f>SUMIF(Purchases!$D:$D,B48,Purchases!$F:$F)</x:f>
        <x:v>0</x:v>
      </x:c>
      <x:c r="I48" s="59" t="n">
        <x:f>SUMIF(Sales!$D:$D,B48,Sales!$G:$G)</x:f>
        <x:v>0</x:v>
      </x:c>
      <x:c r="J48" s="59" t="n">
        <x:f>G48+H48-I48</x:f>
        <x:v>0</x:v>
      </x:c>
      <x:c r="K48" s="58" t="n">
        <x:f>J48*E48</x:f>
        <x:v>0</x:v>
      </x:c>
      <x:c r="L48" s="59"/>
      <x:c r="M48" s="53"/>
      <x:c r="N48" s="60" t="n">
        <x:f>IFERROR(MAXIFS(Purchases!$B:$B,Purchases!$D:$D,B48),"")</x:f>
        <x:v>0</x:v>
      </x:c>
      <x:c r="O48" s="50"/>
    </x:row>
    <x:row r="49">
      <x:c r="A49" s="53"/>
      <x:c r="B49" s="53"/>
      <x:c r="C49" s="53"/>
      <x:c r="D49" s="53"/>
      <x:c r="E49" s="58"/>
      <x:c r="F49" s="58"/>
      <x:c r="G49" s="59"/>
      <x:c r="H49" s="59" t="n">
        <x:f>SUMIF(Purchases!$D:$D,B49,Purchases!$F:$F)</x:f>
        <x:v>0</x:v>
      </x:c>
      <x:c r="I49" s="59" t="n">
        <x:f>SUMIF(Sales!$D:$D,B49,Sales!$G:$G)</x:f>
        <x:v>0</x:v>
      </x:c>
      <x:c r="J49" s="59" t="n">
        <x:f>G49+H49-I49</x:f>
        <x:v>0</x:v>
      </x:c>
      <x:c r="K49" s="58" t="n">
        <x:f>J49*E49</x:f>
        <x:v>0</x:v>
      </x:c>
      <x:c r="L49" s="59"/>
      <x:c r="M49" s="53"/>
      <x:c r="N49" s="60" t="n">
        <x:f>IFERROR(MAXIFS(Purchases!$B:$B,Purchases!$D:$D,B49),"")</x:f>
        <x:v>0</x:v>
      </x:c>
      <x:c r="O49" s="50"/>
    </x:row>
    <x:row r="50">
      <x:c r="A50" s="53"/>
      <x:c r="B50" s="53"/>
      <x:c r="C50" s="53"/>
      <x:c r="D50" s="53"/>
      <x:c r="E50" s="58"/>
      <x:c r="F50" s="58"/>
      <x:c r="G50" s="59"/>
      <x:c r="H50" s="59" t="n">
        <x:f>SUMIF(Purchases!$D:$D,B50,Purchases!$F:$F)</x:f>
        <x:v>0</x:v>
      </x:c>
      <x:c r="I50" s="59" t="n">
        <x:f>SUMIF(Sales!$D:$D,B50,Sales!$G:$G)</x:f>
        <x:v>0</x:v>
      </x:c>
      <x:c r="J50" s="59" t="n">
        <x:f>G50+H50-I50</x:f>
        <x:v>0</x:v>
      </x:c>
      <x:c r="K50" s="58" t="n">
        <x:f>J50*E50</x:f>
        <x:v>0</x:v>
      </x:c>
      <x:c r="L50" s="59"/>
      <x:c r="M50" s="53"/>
      <x:c r="N50" s="60" t="n">
        <x:f>IFERROR(MAXIFS(Purchases!$B:$B,Purchases!$D:$D,B50),"")</x:f>
        <x:v>0</x:v>
      </x:c>
      <x:c r="O50" s="50"/>
    </x:row>
    <x:row r="51">
      <x:c r="A51" s="53"/>
      <x:c r="B51" s="53"/>
      <x:c r="C51" s="53"/>
      <x:c r="D51" s="53"/>
      <x:c r="E51" s="58"/>
      <x:c r="F51" s="58"/>
      <x:c r="G51" s="59"/>
      <x:c r="H51" s="59" t="n">
        <x:f>SUMIF(Purchases!$D:$D,B51,Purchases!$F:$F)</x:f>
        <x:v>0</x:v>
      </x:c>
      <x:c r="I51" s="59" t="n">
        <x:f>SUMIF(Sales!$D:$D,B51,Sales!$G:$G)</x:f>
        <x:v>0</x:v>
      </x:c>
      <x:c r="J51" s="59" t="n">
        <x:f>G51+H51-I51</x:f>
        <x:v>0</x:v>
      </x:c>
      <x:c r="K51" s="58" t="n">
        <x:f>J51*E51</x:f>
        <x:v>0</x:v>
      </x:c>
      <x:c r="L51" s="59"/>
      <x:c r="M51" s="53"/>
      <x:c r="N51" s="60" t="n">
        <x:f>IFERROR(MAXIFS(Purchases!$B:$B,Purchases!$D:$D,B51),"")</x:f>
        <x:v>0</x:v>
      </x:c>
      <x:c r="O51" s="50"/>
    </x:row>
    <x:row r="52">
      <x:c r="A52" s="53"/>
      <x:c r="B52" s="53"/>
      <x:c r="C52" s="53"/>
      <x:c r="D52" s="53"/>
      <x:c r="E52" s="58"/>
      <x:c r="F52" s="58"/>
      <x:c r="G52" s="59"/>
      <x:c r="H52" s="59" t="n">
        <x:f>SUMIF(Purchases!$D:$D,B52,Purchases!$F:$F)</x:f>
        <x:v>0</x:v>
      </x:c>
      <x:c r="I52" s="59" t="n">
        <x:f>SUMIF(Sales!$D:$D,B52,Sales!$G:$G)</x:f>
        <x:v>0</x:v>
      </x:c>
      <x:c r="J52" s="59" t="n">
        <x:f>G52+H52-I52</x:f>
        <x:v>0</x:v>
      </x:c>
      <x:c r="K52" s="58" t="n">
        <x:f>J52*E52</x:f>
        <x:v>0</x:v>
      </x:c>
      <x:c r="L52" s="59"/>
      <x:c r="M52" s="53"/>
      <x:c r="N52" s="60" t="n">
        <x:f>IFERROR(MAXIFS(Purchases!$B:$B,Purchases!$D:$D,B52),"")</x:f>
        <x:v>0</x:v>
      </x:c>
      <x:c r="O52" s="50"/>
    </x:row>
    <x:row r="53">
      <x:c r="A53" s="53"/>
      <x:c r="B53" s="53"/>
      <x:c r="C53" s="53"/>
      <x:c r="D53" s="53"/>
      <x:c r="E53" s="58"/>
      <x:c r="F53" s="58"/>
      <x:c r="G53" s="59"/>
      <x:c r="H53" s="59" t="n">
        <x:f>SUMIF(Purchases!$D:$D,B53,Purchases!$F:$F)</x:f>
        <x:v>0</x:v>
      </x:c>
      <x:c r="I53" s="59" t="n">
        <x:f>SUMIF(Sales!$D:$D,B53,Sales!$G:$G)</x:f>
        <x:v>0</x:v>
      </x:c>
      <x:c r="J53" s="59" t="n">
        <x:f>G53+H53-I53</x:f>
        <x:v>0</x:v>
      </x:c>
      <x:c r="K53" s="58" t="n">
        <x:f>J53*E53</x:f>
        <x:v>0</x:v>
      </x:c>
      <x:c r="L53" s="59"/>
      <x:c r="M53" s="53"/>
      <x:c r="N53" s="60" t="n">
        <x:f>IFERROR(MAXIFS(Purchases!$B:$B,Purchases!$D:$D,B53),"")</x:f>
        <x:v>0</x:v>
      </x:c>
      <x:c r="O53" s="50"/>
    </x:row>
    <x:row r="54">
      <x:c r="A54" s="53"/>
      <x:c r="B54" s="53"/>
      <x:c r="C54" s="53"/>
      <x:c r="D54" s="53"/>
      <x:c r="E54" s="58"/>
      <x:c r="F54" s="58"/>
      <x:c r="G54" s="59"/>
      <x:c r="H54" s="59" t="n">
        <x:f>SUMIF(Purchases!$D:$D,B54,Purchases!$F:$F)</x:f>
        <x:v>0</x:v>
      </x:c>
      <x:c r="I54" s="59" t="n">
        <x:f>SUMIF(Sales!$D:$D,B54,Sales!$G:$G)</x:f>
        <x:v>0</x:v>
      </x:c>
      <x:c r="J54" s="59" t="n">
        <x:f>G54+H54-I54</x:f>
        <x:v>0</x:v>
      </x:c>
      <x:c r="K54" s="58" t="n">
        <x:f>J54*E54</x:f>
        <x:v>0</x:v>
      </x:c>
      <x:c r="L54" s="59"/>
      <x:c r="M54" s="53"/>
      <x:c r="N54" s="60" t="n">
        <x:f>IFERROR(MAXIFS(Purchases!$B:$B,Purchases!$D:$D,B54),"")</x:f>
        <x:v>0</x:v>
      </x:c>
      <x:c r="O54" s="50"/>
    </x:row>
    <x:row r="55">
      <x:c r="A55" s="53"/>
      <x:c r="B55" s="53"/>
      <x:c r="C55" s="53"/>
      <x:c r="D55" s="53"/>
      <x:c r="E55" s="58"/>
      <x:c r="F55" s="58"/>
      <x:c r="G55" s="59"/>
      <x:c r="H55" s="59" t="n">
        <x:f>SUMIF(Purchases!$D:$D,B55,Purchases!$F:$F)</x:f>
        <x:v>0</x:v>
      </x:c>
      <x:c r="I55" s="59" t="n">
        <x:f>SUMIF(Sales!$D:$D,B55,Sales!$G:$G)</x:f>
        <x:v>0</x:v>
      </x:c>
      <x:c r="J55" s="59" t="n">
        <x:f>G55+H55-I55</x:f>
        <x:v>0</x:v>
      </x:c>
      <x:c r="K55" s="58" t="n">
        <x:f>J55*E55</x:f>
        <x:v>0</x:v>
      </x:c>
      <x:c r="L55" s="59"/>
      <x:c r="M55" s="53"/>
      <x:c r="N55" s="60" t="n">
        <x:f>IFERROR(MAXIFS(Purchases!$B:$B,Purchases!$D:$D,B55),"")</x:f>
        <x:v>0</x:v>
      </x:c>
      <x:c r="O55" s="50"/>
    </x:row>
    <x:row r="56">
      <x:c r="A56" s="53"/>
      <x:c r="B56" s="53"/>
      <x:c r="C56" s="53"/>
      <x:c r="D56" s="53"/>
      <x:c r="E56" s="58"/>
      <x:c r="F56" s="58"/>
      <x:c r="G56" s="59"/>
      <x:c r="H56" s="59" t="n">
        <x:f>SUMIF(Purchases!$D:$D,B56,Purchases!$F:$F)</x:f>
        <x:v>0</x:v>
      </x:c>
      <x:c r="I56" s="59" t="n">
        <x:f>SUMIF(Sales!$D:$D,B56,Sales!$G:$G)</x:f>
        <x:v>0</x:v>
      </x:c>
      <x:c r="J56" s="59" t="n">
        <x:f>G56+H56-I56</x:f>
        <x:v>0</x:v>
      </x:c>
      <x:c r="K56" s="58" t="n">
        <x:f>J56*E56</x:f>
        <x:v>0</x:v>
      </x:c>
      <x:c r="L56" s="59"/>
      <x:c r="M56" s="53"/>
      <x:c r="N56" s="60" t="n">
        <x:f>IFERROR(MAXIFS(Purchases!$B:$B,Purchases!$D:$D,B56),"")</x:f>
        <x:v>0</x:v>
      </x:c>
      <x:c r="O56" s="50"/>
    </x:row>
    <x:row r="57">
      <x:c r="A57" s="53"/>
      <x:c r="B57" s="53"/>
      <x:c r="C57" s="53"/>
      <x:c r="D57" s="53"/>
      <x:c r="E57" s="58"/>
      <x:c r="F57" s="58"/>
      <x:c r="G57" s="59"/>
      <x:c r="H57" s="59" t="n">
        <x:f>SUMIF(Purchases!$D:$D,B57,Purchases!$F:$F)</x:f>
        <x:v>0</x:v>
      </x:c>
      <x:c r="I57" s="59" t="n">
        <x:f>SUMIF(Sales!$D:$D,B57,Sales!$G:$G)</x:f>
        <x:v>0</x:v>
      </x:c>
      <x:c r="J57" s="59" t="n">
        <x:f>G57+H57-I57</x:f>
        <x:v>0</x:v>
      </x:c>
      <x:c r="K57" s="58" t="n">
        <x:f>J57*E57</x:f>
        <x:v>0</x:v>
      </x:c>
      <x:c r="L57" s="59"/>
      <x:c r="M57" s="53"/>
      <x:c r="N57" s="60" t="n">
        <x:f>IFERROR(MAXIFS(Purchases!$B:$B,Purchases!$D:$D,B57),"")</x:f>
        <x:v>0</x:v>
      </x:c>
      <x:c r="O57" s="50"/>
    </x:row>
    <x:row r="58">
      <x:c r="A58" s="53"/>
      <x:c r="B58" s="53"/>
      <x:c r="C58" s="53"/>
      <x:c r="D58" s="53"/>
      <x:c r="E58" s="58"/>
      <x:c r="F58" s="58"/>
      <x:c r="G58" s="59"/>
      <x:c r="H58" s="59" t="n">
        <x:f>SUMIF(Purchases!$D:$D,B58,Purchases!$F:$F)</x:f>
        <x:v>0</x:v>
      </x:c>
      <x:c r="I58" s="59" t="n">
        <x:f>SUMIF(Sales!$D:$D,B58,Sales!$G:$G)</x:f>
        <x:v>0</x:v>
      </x:c>
      <x:c r="J58" s="59" t="n">
        <x:f>G58+H58-I58</x:f>
        <x:v>0</x:v>
      </x:c>
      <x:c r="K58" s="58" t="n">
        <x:f>J58*E58</x:f>
        <x:v>0</x:v>
      </x:c>
      <x:c r="L58" s="59"/>
      <x:c r="M58" s="53"/>
      <x:c r="N58" s="60" t="n">
        <x:f>IFERROR(MAXIFS(Purchases!$B:$B,Purchases!$D:$D,B58),"")</x:f>
        <x:v>0</x:v>
      </x:c>
      <x:c r="O58" s="50"/>
    </x:row>
    <x:row r="59">
      <x:c r="A59" s="53"/>
      <x:c r="B59" s="53"/>
      <x:c r="C59" s="53"/>
      <x:c r="D59" s="53"/>
      <x:c r="E59" s="58"/>
      <x:c r="F59" s="58"/>
      <x:c r="G59" s="59"/>
      <x:c r="H59" s="59" t="n">
        <x:f>SUMIF(Purchases!$D:$D,B59,Purchases!$F:$F)</x:f>
        <x:v>0</x:v>
      </x:c>
      <x:c r="I59" s="59" t="n">
        <x:f>SUMIF(Sales!$D:$D,B59,Sales!$G:$G)</x:f>
        <x:v>0</x:v>
      </x:c>
      <x:c r="J59" s="59" t="n">
        <x:f>G59+H59-I59</x:f>
        <x:v>0</x:v>
      </x:c>
      <x:c r="K59" s="58" t="n">
        <x:f>J59*E59</x:f>
        <x:v>0</x:v>
      </x:c>
      <x:c r="L59" s="59"/>
      <x:c r="M59" s="53"/>
      <x:c r="N59" s="60" t="n">
        <x:f>IFERROR(MAXIFS(Purchases!$B:$B,Purchases!$D:$D,B59),"")</x:f>
        <x:v>0</x:v>
      </x:c>
      <x:c r="O59" s="50"/>
    </x:row>
    <x:row r="60">
      <x:c r="A60" s="53"/>
      <x:c r="B60" s="53"/>
      <x:c r="C60" s="53"/>
      <x:c r="D60" s="53"/>
      <x:c r="E60" s="58"/>
      <x:c r="F60" s="58"/>
      <x:c r="G60" s="59"/>
      <x:c r="H60" s="59" t="n">
        <x:f>SUMIF(Purchases!$D:$D,B60,Purchases!$F:$F)</x:f>
        <x:v>0</x:v>
      </x:c>
      <x:c r="I60" s="59" t="n">
        <x:f>SUMIF(Sales!$D:$D,B60,Sales!$G:$G)</x:f>
        <x:v>0</x:v>
      </x:c>
      <x:c r="J60" s="59" t="n">
        <x:f>G60+H60-I60</x:f>
        <x:v>0</x:v>
      </x:c>
      <x:c r="K60" s="58" t="n">
        <x:f>J60*E60</x:f>
        <x:v>0</x:v>
      </x:c>
      <x:c r="L60" s="59"/>
      <x:c r="M60" s="53"/>
      <x:c r="N60" s="60" t="n">
        <x:f>IFERROR(MAXIFS(Purchases!$B:$B,Purchases!$D:$D,B60),"")</x:f>
        <x:v>0</x:v>
      </x:c>
      <x:c r="O60" s="50"/>
    </x:row>
    <x:row r="61">
      <x:c r="A61" s="53"/>
      <x:c r="B61" s="53"/>
      <x:c r="C61" s="53"/>
      <x:c r="D61" s="53"/>
      <x:c r="E61" s="58"/>
      <x:c r="F61" s="58"/>
      <x:c r="G61" s="59"/>
      <x:c r="H61" s="59" t="n">
        <x:f>SUMIF(Purchases!$D:$D,B61,Purchases!$F:$F)</x:f>
        <x:v>0</x:v>
      </x:c>
      <x:c r="I61" s="59" t="n">
        <x:f>SUMIF(Sales!$D:$D,B61,Sales!$G:$G)</x:f>
        <x:v>0</x:v>
      </x:c>
      <x:c r="J61" s="59" t="n">
        <x:f>G61+H61-I61</x:f>
        <x:v>0</x:v>
      </x:c>
      <x:c r="K61" s="58" t="n">
        <x:f>J61*E61</x:f>
        <x:v>0</x:v>
      </x:c>
      <x:c r="L61" s="59"/>
      <x:c r="M61" s="53"/>
      <x:c r="N61" s="60" t="n">
        <x:f>IFERROR(MAXIFS(Purchases!$B:$B,Purchases!$D:$D,B61),"")</x:f>
        <x:v>0</x:v>
      </x:c>
      <x:c r="O61" s="50"/>
    </x:row>
    <x:row r="62">
      <x:c r="A62" s="53"/>
      <x:c r="B62" s="53"/>
      <x:c r="C62" s="53"/>
      <x:c r="D62" s="53"/>
      <x:c r="E62" s="58"/>
      <x:c r="F62" s="58"/>
      <x:c r="G62" s="59"/>
      <x:c r="H62" s="59" t="n">
        <x:f>SUMIF(Purchases!$D:$D,B62,Purchases!$F:$F)</x:f>
        <x:v>0</x:v>
      </x:c>
      <x:c r="I62" s="59" t="n">
        <x:f>SUMIF(Sales!$D:$D,B62,Sales!$G:$G)</x:f>
        <x:v>0</x:v>
      </x:c>
      <x:c r="J62" s="59" t="n">
        <x:f>G62+H62-I62</x:f>
        <x:v>0</x:v>
      </x:c>
      <x:c r="K62" s="58" t="n">
        <x:f>J62*E62</x:f>
        <x:v>0</x:v>
      </x:c>
      <x:c r="L62" s="59"/>
      <x:c r="M62" s="53"/>
      <x:c r="N62" s="60" t="n">
        <x:f>IFERROR(MAXIFS(Purchases!$B:$B,Purchases!$D:$D,B62),"")</x:f>
        <x:v>0</x:v>
      </x:c>
      <x:c r="O62" s="50"/>
    </x:row>
    <x:row r="63">
      <x:c r="A63" s="53"/>
      <x:c r="B63" s="53"/>
      <x:c r="C63" s="53"/>
      <x:c r="D63" s="53"/>
      <x:c r="E63" s="58"/>
      <x:c r="F63" s="58"/>
      <x:c r="G63" s="59"/>
      <x:c r="H63" s="59" t="n">
        <x:f>SUMIF(Purchases!$D:$D,B63,Purchases!$F:$F)</x:f>
        <x:v>0</x:v>
      </x:c>
      <x:c r="I63" s="59" t="n">
        <x:f>SUMIF(Sales!$D:$D,B63,Sales!$G:$G)</x:f>
        <x:v>0</x:v>
      </x:c>
      <x:c r="J63" s="59" t="n">
        <x:f>G63+H63-I63</x:f>
        <x:v>0</x:v>
      </x:c>
      <x:c r="K63" s="58" t="n">
        <x:f>J63*E63</x:f>
        <x:v>0</x:v>
      </x:c>
      <x:c r="L63" s="59"/>
      <x:c r="M63" s="53"/>
      <x:c r="N63" s="60" t="n">
        <x:f>IFERROR(MAXIFS(Purchases!$B:$B,Purchases!$D:$D,B63),"")</x:f>
        <x:v>0</x:v>
      </x:c>
      <x:c r="O63" s="50"/>
    </x:row>
    <x:row r="64">
      <x:c r="A64" s="53"/>
      <x:c r="B64" s="53"/>
      <x:c r="C64" s="53"/>
      <x:c r="D64" s="53"/>
      <x:c r="E64" s="58"/>
      <x:c r="F64" s="58"/>
      <x:c r="G64" s="59"/>
      <x:c r="H64" s="59" t="n">
        <x:f>SUMIF(Purchases!$D:$D,B64,Purchases!$F:$F)</x:f>
        <x:v>0</x:v>
      </x:c>
      <x:c r="I64" s="59" t="n">
        <x:f>SUMIF(Sales!$D:$D,B64,Sales!$G:$G)</x:f>
        <x:v>0</x:v>
      </x:c>
      <x:c r="J64" s="59" t="n">
        <x:f>G64+H64-I64</x:f>
        <x:v>0</x:v>
      </x:c>
      <x:c r="K64" s="58" t="n">
        <x:f>J64*E64</x:f>
        <x:v>0</x:v>
      </x:c>
      <x:c r="L64" s="59"/>
      <x:c r="M64" s="53"/>
      <x:c r="N64" s="60" t="n">
        <x:f>IFERROR(MAXIFS(Purchases!$B:$B,Purchases!$D:$D,B64),"")</x:f>
        <x:v>0</x:v>
      </x:c>
      <x:c r="O64" s="50"/>
    </x:row>
    <x:row r="65">
      <x:c r="A65" s="53"/>
      <x:c r="B65" s="53"/>
      <x:c r="C65" s="53"/>
      <x:c r="D65" s="53"/>
      <x:c r="E65" s="58"/>
      <x:c r="F65" s="58"/>
      <x:c r="G65" s="59"/>
      <x:c r="H65" s="59" t="n">
        <x:f>SUMIF(Purchases!$D:$D,B65,Purchases!$F:$F)</x:f>
        <x:v>0</x:v>
      </x:c>
      <x:c r="I65" s="59" t="n">
        <x:f>SUMIF(Sales!$D:$D,B65,Sales!$G:$G)</x:f>
        <x:v>0</x:v>
      </x:c>
      <x:c r="J65" s="59" t="n">
        <x:f>G65+H65-I65</x:f>
        <x:v>0</x:v>
      </x:c>
      <x:c r="K65" s="58" t="n">
        <x:f>J65*E65</x:f>
        <x:v>0</x:v>
      </x:c>
      <x:c r="L65" s="59"/>
      <x:c r="M65" s="53"/>
      <x:c r="N65" s="60" t="n">
        <x:f>IFERROR(MAXIFS(Purchases!$B:$B,Purchases!$D:$D,B65),"")</x:f>
        <x:v>0</x:v>
      </x:c>
      <x:c r="O65" s="50"/>
    </x:row>
    <x:row r="66">
      <x:c r="A66" s="53"/>
      <x:c r="B66" s="53"/>
      <x:c r="C66" s="53"/>
      <x:c r="D66" s="53"/>
      <x:c r="E66" s="58"/>
      <x:c r="F66" s="58"/>
      <x:c r="G66" s="59"/>
      <x:c r="H66" s="59" t="n">
        <x:f>SUMIF(Purchases!$D:$D,B66,Purchases!$F:$F)</x:f>
        <x:v>0</x:v>
      </x:c>
      <x:c r="I66" s="59" t="n">
        <x:f>SUMIF(Sales!$D:$D,B66,Sales!$G:$G)</x:f>
        <x:v>0</x:v>
      </x:c>
      <x:c r="J66" s="59" t="n">
        <x:f>G66+H66-I66</x:f>
        <x:v>0</x:v>
      </x:c>
      <x:c r="K66" s="58" t="n">
        <x:f>J66*E66</x:f>
        <x:v>0</x:v>
      </x:c>
      <x:c r="L66" s="59"/>
      <x:c r="M66" s="53"/>
      <x:c r="N66" s="60" t="n">
        <x:f>IFERROR(MAXIFS(Purchases!$B:$B,Purchases!$D:$D,B66),"")</x:f>
        <x:v>0</x:v>
      </x:c>
      <x:c r="O66" s="50"/>
    </x:row>
    <x:row r="67">
      <x:c r="A67" s="53"/>
      <x:c r="B67" s="53"/>
      <x:c r="C67" s="53"/>
      <x:c r="D67" s="53"/>
      <x:c r="E67" s="58"/>
      <x:c r="F67" s="58"/>
      <x:c r="G67" s="59"/>
      <x:c r="H67" s="59" t="n">
        <x:f>SUMIF(Purchases!$D:$D,B67,Purchases!$F:$F)</x:f>
        <x:v>0</x:v>
      </x:c>
      <x:c r="I67" s="59" t="n">
        <x:f>SUMIF(Sales!$D:$D,B67,Sales!$G:$G)</x:f>
        <x:v>0</x:v>
      </x:c>
      <x:c r="J67" s="59" t="n">
        <x:f>G67+H67-I67</x:f>
        <x:v>0</x:v>
      </x:c>
      <x:c r="K67" s="58" t="n">
        <x:f>J67*E67</x:f>
        <x:v>0</x:v>
      </x:c>
      <x:c r="L67" s="59"/>
      <x:c r="M67" s="53"/>
      <x:c r="N67" s="60" t="n">
        <x:f>IFERROR(MAXIFS(Purchases!$B:$B,Purchases!$D:$D,B67),"")</x:f>
        <x:v>0</x:v>
      </x:c>
      <x:c r="O67" s="50"/>
    </x:row>
    <x:row r="68">
      <x:c r="A68" s="53"/>
      <x:c r="B68" s="53"/>
      <x:c r="C68" s="53"/>
      <x:c r="D68" s="53"/>
      <x:c r="E68" s="58"/>
      <x:c r="F68" s="58"/>
      <x:c r="G68" s="59"/>
      <x:c r="H68" s="59" t="n">
        <x:f>SUMIF(Purchases!$D:$D,B68,Purchases!$F:$F)</x:f>
        <x:v>0</x:v>
      </x:c>
      <x:c r="I68" s="59" t="n">
        <x:f>SUMIF(Sales!$D:$D,B68,Sales!$G:$G)</x:f>
        <x:v>0</x:v>
      </x:c>
      <x:c r="J68" s="59" t="n">
        <x:f>G68+H68-I68</x:f>
        <x:v>0</x:v>
      </x:c>
      <x:c r="K68" s="58" t="n">
        <x:f>J68*E68</x:f>
        <x:v>0</x:v>
      </x:c>
      <x:c r="L68" s="59"/>
      <x:c r="M68" s="53"/>
      <x:c r="N68" s="60" t="n">
        <x:f>IFERROR(MAXIFS(Purchases!$B:$B,Purchases!$D:$D,B68),"")</x:f>
        <x:v>0</x:v>
      </x:c>
      <x:c r="O68" s="50"/>
    </x:row>
    <x:row r="69">
      <x:c r="A69" s="53"/>
      <x:c r="B69" s="53"/>
      <x:c r="C69" s="53"/>
      <x:c r="D69" s="53"/>
      <x:c r="E69" s="58"/>
      <x:c r="F69" s="58"/>
      <x:c r="G69" s="59"/>
      <x:c r="H69" s="59" t="n">
        <x:f>SUMIF(Purchases!$D:$D,B69,Purchases!$F:$F)</x:f>
        <x:v>0</x:v>
      </x:c>
      <x:c r="I69" s="59" t="n">
        <x:f>SUMIF(Sales!$D:$D,B69,Sales!$G:$G)</x:f>
        <x:v>0</x:v>
      </x:c>
      <x:c r="J69" s="59" t="n">
        <x:f>G69+H69-I69</x:f>
        <x:v>0</x:v>
      </x:c>
      <x:c r="K69" s="58" t="n">
        <x:f>J69*E69</x:f>
        <x:v>0</x:v>
      </x:c>
      <x:c r="L69" s="59"/>
      <x:c r="M69" s="53"/>
      <x:c r="N69" s="60" t="n">
        <x:f>IFERROR(MAXIFS(Purchases!$B:$B,Purchases!$D:$D,B69),"")</x:f>
        <x:v>0</x:v>
      </x:c>
      <x:c r="O69" s="50"/>
    </x:row>
    <x:row r="70">
      <x:c r="A70" s="53"/>
      <x:c r="B70" s="53"/>
      <x:c r="C70" s="53"/>
      <x:c r="D70" s="53"/>
      <x:c r="E70" s="58"/>
      <x:c r="F70" s="58"/>
      <x:c r="G70" s="59"/>
      <x:c r="H70" s="59" t="n">
        <x:f>SUMIF(Purchases!$D:$D,B70,Purchases!$F:$F)</x:f>
        <x:v>0</x:v>
      </x:c>
      <x:c r="I70" s="59" t="n">
        <x:f>SUMIF(Sales!$D:$D,B70,Sales!$G:$G)</x:f>
        <x:v>0</x:v>
      </x:c>
      <x:c r="J70" s="59" t="n">
        <x:f>G70+H70-I70</x:f>
        <x:v>0</x:v>
      </x:c>
      <x:c r="K70" s="58" t="n">
        <x:f>J70*E70</x:f>
        <x:v>0</x:v>
      </x:c>
      <x:c r="L70" s="59"/>
      <x:c r="M70" s="53"/>
      <x:c r="N70" s="60" t="n">
        <x:f>IFERROR(MAXIFS(Purchases!$B:$B,Purchases!$D:$D,B70),"")</x:f>
        <x:v>0</x:v>
      </x:c>
      <x:c r="O70" s="50"/>
    </x:row>
    <x:row r="71">
      <x:c r="A71" s="53"/>
      <x:c r="B71" s="53"/>
      <x:c r="C71" s="53"/>
      <x:c r="D71" s="53"/>
      <x:c r="E71" s="58"/>
      <x:c r="F71" s="58"/>
      <x:c r="G71" s="59"/>
      <x:c r="H71" s="59" t="n">
        <x:f>SUMIF(Purchases!$D:$D,B71,Purchases!$F:$F)</x:f>
        <x:v>0</x:v>
      </x:c>
      <x:c r="I71" s="59" t="n">
        <x:f>SUMIF(Sales!$D:$D,B71,Sales!$G:$G)</x:f>
        <x:v>0</x:v>
      </x:c>
      <x:c r="J71" s="59" t="n">
        <x:f>G71+H71-I71</x:f>
        <x:v>0</x:v>
      </x:c>
      <x:c r="K71" s="58" t="n">
        <x:f>J71*E71</x:f>
        <x:v>0</x:v>
      </x:c>
      <x:c r="L71" s="59"/>
      <x:c r="M71" s="53"/>
      <x:c r="N71" s="60" t="n">
        <x:f>IFERROR(MAXIFS(Purchases!$B:$B,Purchases!$D:$D,B71),"")</x:f>
        <x:v>0</x:v>
      </x:c>
      <x:c r="O71" s="50"/>
    </x:row>
    <x:row r="72">
      <x:c r="A72" s="53"/>
      <x:c r="B72" s="53"/>
      <x:c r="C72" s="53"/>
      <x:c r="D72" s="53"/>
      <x:c r="E72" s="58"/>
      <x:c r="F72" s="58"/>
      <x:c r="G72" s="59"/>
      <x:c r="H72" s="59" t="n">
        <x:f>SUMIF(Purchases!$D:$D,B72,Purchases!$F:$F)</x:f>
        <x:v>0</x:v>
      </x:c>
      <x:c r="I72" s="59" t="n">
        <x:f>SUMIF(Sales!$D:$D,B72,Sales!$G:$G)</x:f>
        <x:v>0</x:v>
      </x:c>
      <x:c r="J72" s="59" t="n">
        <x:f>G72+H72-I72</x:f>
        <x:v>0</x:v>
      </x:c>
      <x:c r="K72" s="58" t="n">
        <x:f>J72*E72</x:f>
        <x:v>0</x:v>
      </x:c>
      <x:c r="L72" s="59"/>
      <x:c r="M72" s="53"/>
      <x:c r="N72" s="60" t="n">
        <x:f>IFERROR(MAXIFS(Purchases!$B:$B,Purchases!$D:$D,B72),"")</x:f>
        <x:v>0</x:v>
      </x:c>
      <x:c r="O72" s="50"/>
    </x:row>
    <x:row r="73">
      <x:c r="A73" s="53"/>
      <x:c r="B73" s="53"/>
      <x:c r="C73" s="53"/>
      <x:c r="D73" s="53"/>
      <x:c r="E73" s="58"/>
      <x:c r="F73" s="58"/>
      <x:c r="G73" s="59"/>
      <x:c r="H73" s="59" t="n">
        <x:f>SUMIF(Purchases!$D:$D,B73,Purchases!$F:$F)</x:f>
        <x:v>0</x:v>
      </x:c>
      <x:c r="I73" s="59" t="n">
        <x:f>SUMIF(Sales!$D:$D,B73,Sales!$G:$G)</x:f>
        <x:v>0</x:v>
      </x:c>
      <x:c r="J73" s="59" t="n">
        <x:f>G73+H73-I73</x:f>
        <x:v>0</x:v>
      </x:c>
      <x:c r="K73" s="58" t="n">
        <x:f>J73*E73</x:f>
        <x:v>0</x:v>
      </x:c>
      <x:c r="L73" s="59"/>
      <x:c r="M73" s="53"/>
      <x:c r="N73" s="60" t="n">
        <x:f>IFERROR(MAXIFS(Purchases!$B:$B,Purchases!$D:$D,B73),"")</x:f>
        <x:v>0</x:v>
      </x:c>
      <x:c r="O73" s="50"/>
    </x:row>
    <x:row r="74">
      <x:c r="A74" s="53"/>
      <x:c r="B74" s="53"/>
      <x:c r="C74" s="53"/>
      <x:c r="D74" s="53"/>
      <x:c r="E74" s="58"/>
      <x:c r="F74" s="58"/>
      <x:c r="G74" s="59"/>
      <x:c r="H74" s="59" t="n">
        <x:f>SUMIF(Purchases!$D:$D,B74,Purchases!$F:$F)</x:f>
        <x:v>0</x:v>
      </x:c>
      <x:c r="I74" s="59" t="n">
        <x:f>SUMIF(Sales!$D:$D,B74,Sales!$G:$G)</x:f>
        <x:v>0</x:v>
      </x:c>
      <x:c r="J74" s="59" t="n">
        <x:f>G74+H74-I74</x:f>
        <x:v>0</x:v>
      </x:c>
      <x:c r="K74" s="58" t="n">
        <x:f>J74*E74</x:f>
        <x:v>0</x:v>
      </x:c>
      <x:c r="L74" s="59"/>
      <x:c r="M74" s="53"/>
      <x:c r="N74" s="60" t="n">
        <x:f>IFERROR(MAXIFS(Purchases!$B:$B,Purchases!$D:$D,B74),"")</x:f>
        <x:v>0</x:v>
      </x:c>
      <x:c r="O74" s="50"/>
    </x:row>
    <x:row r="75">
      <x:c r="A75" s="53"/>
      <x:c r="B75" s="53"/>
      <x:c r="C75" s="53"/>
      <x:c r="D75" s="53"/>
      <x:c r="E75" s="58"/>
      <x:c r="F75" s="58"/>
      <x:c r="G75" s="59"/>
      <x:c r="H75" s="59" t="n">
        <x:f>SUMIF(Purchases!$D:$D,B75,Purchases!$F:$F)</x:f>
        <x:v>0</x:v>
      </x:c>
      <x:c r="I75" s="59" t="n">
        <x:f>SUMIF(Sales!$D:$D,B75,Sales!$G:$G)</x:f>
        <x:v>0</x:v>
      </x:c>
      <x:c r="J75" s="59" t="n">
        <x:f>G75+H75-I75</x:f>
        <x:v>0</x:v>
      </x:c>
      <x:c r="K75" s="58" t="n">
        <x:f>J75*E75</x:f>
        <x:v>0</x:v>
      </x:c>
      <x:c r="L75" s="59"/>
      <x:c r="M75" s="53"/>
      <x:c r="N75" s="60" t="n">
        <x:f>IFERROR(MAXIFS(Purchases!$B:$B,Purchases!$D:$D,B75),"")</x:f>
        <x:v>0</x:v>
      </x:c>
      <x:c r="O75" s="50"/>
    </x:row>
    <x:row r="76">
      <x:c r="A76" s="53"/>
      <x:c r="B76" s="53"/>
      <x:c r="C76" s="53"/>
      <x:c r="D76" s="53"/>
      <x:c r="E76" s="58"/>
      <x:c r="F76" s="58"/>
      <x:c r="G76" s="59"/>
      <x:c r="H76" s="59" t="n">
        <x:f>SUMIF(Purchases!$D:$D,B76,Purchases!$F:$F)</x:f>
        <x:v>0</x:v>
      </x:c>
      <x:c r="I76" s="59" t="n">
        <x:f>SUMIF(Sales!$D:$D,B76,Sales!$G:$G)</x:f>
        <x:v>0</x:v>
      </x:c>
      <x:c r="J76" s="59" t="n">
        <x:f>G76+H76-I76</x:f>
        <x:v>0</x:v>
      </x:c>
      <x:c r="K76" s="58" t="n">
        <x:f>J76*E76</x:f>
        <x:v>0</x:v>
      </x:c>
      <x:c r="L76" s="59"/>
      <x:c r="M76" s="53"/>
      <x:c r="N76" s="60" t="n">
        <x:f>IFERROR(MAXIFS(Purchases!$B:$B,Purchases!$D:$D,B76),"")</x:f>
        <x:v>0</x:v>
      </x:c>
      <x:c r="O76" s="50"/>
    </x:row>
    <x:row r="77">
      <x:c r="A77" s="53"/>
      <x:c r="B77" s="53"/>
      <x:c r="C77" s="53"/>
      <x:c r="D77" s="53"/>
      <x:c r="E77" s="58"/>
      <x:c r="F77" s="58"/>
      <x:c r="G77" s="59"/>
      <x:c r="H77" s="59" t="n">
        <x:f>SUMIF(Purchases!$D:$D,B77,Purchases!$F:$F)</x:f>
        <x:v>0</x:v>
      </x:c>
      <x:c r="I77" s="59" t="n">
        <x:f>SUMIF(Sales!$D:$D,B77,Sales!$G:$G)</x:f>
        <x:v>0</x:v>
      </x:c>
      <x:c r="J77" s="59" t="n">
        <x:f>G77+H77-I77</x:f>
        <x:v>0</x:v>
      </x:c>
      <x:c r="K77" s="58" t="n">
        <x:f>J77*E77</x:f>
        <x:v>0</x:v>
      </x:c>
      <x:c r="L77" s="59"/>
      <x:c r="M77" s="53"/>
      <x:c r="N77" s="60" t="n">
        <x:f>IFERROR(MAXIFS(Purchases!$B:$B,Purchases!$D:$D,B77),"")</x:f>
        <x:v>0</x:v>
      </x:c>
      <x:c r="O77" s="50"/>
    </x:row>
    <x:row r="78">
      <x:c r="A78" s="53"/>
      <x:c r="B78" s="53"/>
      <x:c r="C78" s="53"/>
      <x:c r="D78" s="53"/>
      <x:c r="E78" s="58"/>
      <x:c r="F78" s="58"/>
      <x:c r="G78" s="59"/>
      <x:c r="H78" s="59" t="n">
        <x:f>SUMIF(Purchases!$D:$D,B78,Purchases!$F:$F)</x:f>
        <x:v>0</x:v>
      </x:c>
      <x:c r="I78" s="59" t="n">
        <x:f>SUMIF(Sales!$D:$D,B78,Sales!$G:$G)</x:f>
        <x:v>0</x:v>
      </x:c>
      <x:c r="J78" s="59" t="n">
        <x:f>G78+H78-I78</x:f>
        <x:v>0</x:v>
      </x:c>
      <x:c r="K78" s="58" t="n">
        <x:f>J78*E78</x:f>
        <x:v>0</x:v>
      </x:c>
      <x:c r="L78" s="59"/>
      <x:c r="M78" s="53"/>
      <x:c r="N78" s="60" t="n">
        <x:f>IFERROR(MAXIFS(Purchases!$B:$B,Purchases!$D:$D,B78),"")</x:f>
        <x:v>0</x:v>
      </x:c>
      <x:c r="O78" s="50"/>
    </x:row>
    <x:row r="79">
      <x:c r="A79" s="53"/>
      <x:c r="B79" s="53"/>
      <x:c r="C79" s="53"/>
      <x:c r="D79" s="53"/>
      <x:c r="E79" s="58"/>
      <x:c r="F79" s="58"/>
      <x:c r="G79" s="59"/>
      <x:c r="H79" s="59" t="n">
        <x:f>SUMIF(Purchases!$D:$D,B79,Purchases!$F:$F)</x:f>
        <x:v>0</x:v>
      </x:c>
      <x:c r="I79" s="59" t="n">
        <x:f>SUMIF(Sales!$D:$D,B79,Sales!$G:$G)</x:f>
        <x:v>0</x:v>
      </x:c>
      <x:c r="J79" s="59" t="n">
        <x:f>G79+H79-I79</x:f>
        <x:v>0</x:v>
      </x:c>
      <x:c r="K79" s="58" t="n">
        <x:f>J79*E79</x:f>
        <x:v>0</x:v>
      </x:c>
      <x:c r="L79" s="59"/>
      <x:c r="M79" s="53"/>
      <x:c r="N79" s="60" t="n">
        <x:f>IFERROR(MAXIFS(Purchases!$B:$B,Purchases!$D:$D,B79),"")</x:f>
        <x:v>0</x:v>
      </x:c>
      <x:c r="O79" s="50"/>
    </x:row>
    <x:row r="80">
      <x:c r="A80" s="53"/>
      <x:c r="B80" s="53"/>
      <x:c r="C80" s="53"/>
      <x:c r="D80" s="53"/>
      <x:c r="E80" s="58"/>
      <x:c r="F80" s="58"/>
      <x:c r="G80" s="59"/>
      <x:c r="H80" s="59" t="n">
        <x:f>SUMIF(Purchases!$D:$D,B80,Purchases!$F:$F)</x:f>
        <x:v>0</x:v>
      </x:c>
      <x:c r="I80" s="59" t="n">
        <x:f>SUMIF(Sales!$D:$D,B80,Sales!$G:$G)</x:f>
        <x:v>0</x:v>
      </x:c>
      <x:c r="J80" s="59" t="n">
        <x:f>G80+H80-I80</x:f>
        <x:v>0</x:v>
      </x:c>
      <x:c r="K80" s="58" t="n">
        <x:f>J80*E80</x:f>
        <x:v>0</x:v>
      </x:c>
      <x:c r="L80" s="59"/>
      <x:c r="M80" s="53"/>
      <x:c r="N80" s="60" t="n">
        <x:f>IFERROR(MAXIFS(Purchases!$B:$B,Purchases!$D:$D,B80),"")</x:f>
        <x:v>0</x:v>
      </x:c>
      <x:c r="O80" s="50"/>
    </x:row>
    <x:row r="81">
      <x:c r="A81" s="53"/>
      <x:c r="B81" s="53"/>
      <x:c r="C81" s="53"/>
      <x:c r="D81" s="53"/>
      <x:c r="E81" s="58"/>
      <x:c r="F81" s="58"/>
      <x:c r="G81" s="59"/>
      <x:c r="H81" s="59" t="n">
        <x:f>SUMIF(Purchases!$D:$D,B81,Purchases!$F:$F)</x:f>
        <x:v>0</x:v>
      </x:c>
      <x:c r="I81" s="59" t="n">
        <x:f>SUMIF(Sales!$D:$D,B81,Sales!$G:$G)</x:f>
        <x:v>0</x:v>
      </x:c>
      <x:c r="J81" s="59" t="n">
        <x:f>G81+H81-I81</x:f>
        <x:v>0</x:v>
      </x:c>
      <x:c r="K81" s="58" t="n">
        <x:f>J81*E81</x:f>
        <x:v>0</x:v>
      </x:c>
      <x:c r="L81" s="59"/>
      <x:c r="M81" s="53"/>
      <x:c r="N81" s="60" t="n">
        <x:f>IFERROR(MAXIFS(Purchases!$B:$B,Purchases!$D:$D,B81),"")</x:f>
        <x:v>0</x:v>
      </x:c>
      <x:c r="O81" s="50"/>
    </x:row>
    <x:row r="82">
      <x:c r="A82" s="53"/>
      <x:c r="B82" s="53"/>
      <x:c r="C82" s="53"/>
      <x:c r="D82" s="53"/>
      <x:c r="E82" s="58"/>
      <x:c r="F82" s="58"/>
      <x:c r="G82" s="59"/>
      <x:c r="H82" s="59" t="n">
        <x:f>SUMIF(Purchases!$D:$D,B82,Purchases!$F:$F)</x:f>
        <x:v>0</x:v>
      </x:c>
      <x:c r="I82" s="59" t="n">
        <x:f>SUMIF(Sales!$D:$D,B82,Sales!$G:$G)</x:f>
        <x:v>0</x:v>
      </x:c>
      <x:c r="J82" s="59" t="n">
        <x:f>G82+H82-I82</x:f>
        <x:v>0</x:v>
      </x:c>
      <x:c r="K82" s="58" t="n">
        <x:f>J82*E82</x:f>
        <x:v>0</x:v>
      </x:c>
      <x:c r="L82" s="59"/>
      <x:c r="M82" s="53"/>
      <x:c r="N82" s="60" t="n">
        <x:f>IFERROR(MAXIFS(Purchases!$B:$B,Purchases!$D:$D,B82),"")</x:f>
        <x:v>0</x:v>
      </x:c>
      <x:c r="O82" s="50"/>
    </x:row>
    <x:row r="83">
      <x:c r="A83" s="53"/>
      <x:c r="B83" s="53"/>
      <x:c r="C83" s="53"/>
      <x:c r="D83" s="53"/>
      <x:c r="E83" s="58"/>
      <x:c r="F83" s="58"/>
      <x:c r="G83" s="59"/>
      <x:c r="H83" s="59" t="n">
        <x:f>SUMIF(Purchases!$D:$D,B83,Purchases!$F:$F)</x:f>
        <x:v>0</x:v>
      </x:c>
      <x:c r="I83" s="59" t="n">
        <x:f>SUMIF(Sales!$D:$D,B83,Sales!$G:$G)</x:f>
        <x:v>0</x:v>
      </x:c>
      <x:c r="J83" s="59" t="n">
        <x:f>G83+H83-I83</x:f>
        <x:v>0</x:v>
      </x:c>
      <x:c r="K83" s="58" t="n">
        <x:f>J83*E83</x:f>
        <x:v>0</x:v>
      </x:c>
      <x:c r="L83" s="59"/>
      <x:c r="M83" s="53"/>
      <x:c r="N83" s="60" t="n">
        <x:f>IFERROR(MAXIFS(Purchases!$B:$B,Purchases!$D:$D,B83),"")</x:f>
        <x:v>0</x:v>
      </x:c>
      <x:c r="O83" s="50"/>
    </x:row>
    <x:row r="84">
      <x:c r="A84" s="53"/>
      <x:c r="B84" s="53"/>
      <x:c r="C84" s="53"/>
      <x:c r="D84" s="53"/>
      <x:c r="E84" s="58"/>
      <x:c r="F84" s="58"/>
      <x:c r="G84" s="59"/>
      <x:c r="H84" s="59" t="n">
        <x:f>SUMIF(Purchases!$D:$D,B84,Purchases!$F:$F)</x:f>
        <x:v>0</x:v>
      </x:c>
      <x:c r="I84" s="59" t="n">
        <x:f>SUMIF(Sales!$D:$D,B84,Sales!$G:$G)</x:f>
        <x:v>0</x:v>
      </x:c>
      <x:c r="J84" s="59" t="n">
        <x:f>G84+H84-I84</x:f>
        <x:v>0</x:v>
      </x:c>
      <x:c r="K84" s="58" t="n">
        <x:f>J84*E84</x:f>
        <x:v>0</x:v>
      </x:c>
      <x:c r="L84" s="59"/>
      <x:c r="M84" s="53"/>
      <x:c r="N84" s="60" t="n">
        <x:f>IFERROR(MAXIFS(Purchases!$B:$B,Purchases!$D:$D,B84),"")</x:f>
        <x:v>0</x:v>
      </x:c>
      <x:c r="O84" s="50"/>
    </x:row>
    <x:row r="85">
      <x:c r="A85" s="53"/>
      <x:c r="B85" s="53"/>
      <x:c r="C85" s="53"/>
      <x:c r="D85" s="53"/>
      <x:c r="E85" s="58"/>
      <x:c r="F85" s="58"/>
      <x:c r="G85" s="59"/>
      <x:c r="H85" s="59" t="n">
        <x:f>SUMIF(Purchases!$D:$D,B85,Purchases!$F:$F)</x:f>
        <x:v>0</x:v>
      </x:c>
      <x:c r="I85" s="59" t="n">
        <x:f>SUMIF(Sales!$D:$D,B85,Sales!$G:$G)</x:f>
        <x:v>0</x:v>
      </x:c>
      <x:c r="J85" s="59" t="n">
        <x:f>G85+H85-I85</x:f>
        <x:v>0</x:v>
      </x:c>
      <x:c r="K85" s="58" t="n">
        <x:f>J85*E85</x:f>
        <x:v>0</x:v>
      </x:c>
      <x:c r="L85" s="59"/>
      <x:c r="M85" s="53"/>
      <x:c r="N85" s="60" t="n">
        <x:f>IFERROR(MAXIFS(Purchases!$B:$B,Purchases!$D:$D,B85),"")</x:f>
        <x:v>0</x:v>
      </x:c>
      <x:c r="O85" s="50"/>
    </x:row>
    <x:row r="86">
      <x:c r="A86" s="53"/>
      <x:c r="B86" s="53"/>
      <x:c r="C86" s="53"/>
      <x:c r="D86" s="53"/>
      <x:c r="E86" s="58"/>
      <x:c r="F86" s="58"/>
      <x:c r="G86" s="59"/>
      <x:c r="H86" s="59" t="n">
        <x:f>SUMIF(Purchases!$D:$D,B86,Purchases!$F:$F)</x:f>
        <x:v>0</x:v>
      </x:c>
      <x:c r="I86" s="59" t="n">
        <x:f>SUMIF(Sales!$D:$D,B86,Sales!$G:$G)</x:f>
        <x:v>0</x:v>
      </x:c>
      <x:c r="J86" s="59" t="n">
        <x:f>G86+H86-I86</x:f>
        <x:v>0</x:v>
      </x:c>
      <x:c r="K86" s="58" t="n">
        <x:f>J86*E86</x:f>
        <x:v>0</x:v>
      </x:c>
      <x:c r="L86" s="59"/>
      <x:c r="M86" s="53"/>
      <x:c r="N86" s="60" t="n">
        <x:f>IFERROR(MAXIFS(Purchases!$B:$B,Purchases!$D:$D,B86),"")</x:f>
        <x:v>0</x:v>
      </x:c>
      <x:c r="O86" s="50"/>
    </x:row>
    <x:row r="87">
      <x:c r="A87" s="53"/>
      <x:c r="B87" s="53"/>
      <x:c r="C87" s="53"/>
      <x:c r="D87" s="53"/>
      <x:c r="E87" s="58"/>
      <x:c r="F87" s="58"/>
      <x:c r="G87" s="59"/>
      <x:c r="H87" s="59" t="n">
        <x:f>SUMIF(Purchases!$D:$D,B87,Purchases!$F:$F)</x:f>
        <x:v>0</x:v>
      </x:c>
      <x:c r="I87" s="59" t="n">
        <x:f>SUMIF(Sales!$D:$D,B87,Sales!$G:$G)</x:f>
        <x:v>0</x:v>
      </x:c>
      <x:c r="J87" s="59" t="n">
        <x:f>G87+H87-I87</x:f>
        <x:v>0</x:v>
      </x:c>
      <x:c r="K87" s="58" t="n">
        <x:f>J87*E87</x:f>
        <x:v>0</x:v>
      </x:c>
      <x:c r="L87" s="59"/>
      <x:c r="M87" s="53"/>
      <x:c r="N87" s="60" t="n">
        <x:f>IFERROR(MAXIFS(Purchases!$B:$B,Purchases!$D:$D,B87),"")</x:f>
        <x:v>0</x:v>
      </x:c>
      <x:c r="O87" s="50"/>
    </x:row>
    <x:row r="88">
      <x:c r="A88" s="53"/>
      <x:c r="B88" s="53"/>
      <x:c r="C88" s="53"/>
      <x:c r="D88" s="53"/>
      <x:c r="E88" s="58"/>
      <x:c r="F88" s="58"/>
      <x:c r="G88" s="59"/>
      <x:c r="H88" s="59" t="n">
        <x:f>SUMIF(Purchases!$D:$D,B88,Purchases!$F:$F)</x:f>
        <x:v>0</x:v>
      </x:c>
      <x:c r="I88" s="59" t="n">
        <x:f>SUMIF(Sales!$D:$D,B88,Sales!$G:$G)</x:f>
        <x:v>0</x:v>
      </x:c>
      <x:c r="J88" s="59" t="n">
        <x:f>G88+H88-I88</x:f>
        <x:v>0</x:v>
      </x:c>
      <x:c r="K88" s="58" t="n">
        <x:f>J88*E88</x:f>
        <x:v>0</x:v>
      </x:c>
      <x:c r="L88" s="59"/>
      <x:c r="M88" s="53"/>
      <x:c r="N88" s="60" t="n">
        <x:f>IFERROR(MAXIFS(Purchases!$B:$B,Purchases!$D:$D,B88),"")</x:f>
        <x:v>0</x:v>
      </x:c>
      <x:c r="O88" s="50"/>
    </x:row>
    <x:row r="89">
      <x:c r="A89" s="53"/>
      <x:c r="B89" s="53"/>
      <x:c r="C89" s="53"/>
      <x:c r="D89" s="53"/>
      <x:c r="E89" s="58"/>
      <x:c r="F89" s="58"/>
      <x:c r="G89" s="59"/>
      <x:c r="H89" s="59" t="n">
        <x:f>SUMIF(Purchases!$D:$D,B89,Purchases!$F:$F)</x:f>
        <x:v>0</x:v>
      </x:c>
      <x:c r="I89" s="59" t="n">
        <x:f>SUMIF(Sales!$D:$D,B89,Sales!$G:$G)</x:f>
        <x:v>0</x:v>
      </x:c>
      <x:c r="J89" s="59" t="n">
        <x:f>G89+H89-I89</x:f>
        <x:v>0</x:v>
      </x:c>
      <x:c r="K89" s="58" t="n">
        <x:f>J89*E89</x:f>
        <x:v>0</x:v>
      </x:c>
      <x:c r="L89" s="59"/>
      <x:c r="M89" s="53"/>
      <x:c r="N89" s="60" t="n">
        <x:f>IFERROR(MAXIFS(Purchases!$B:$B,Purchases!$D:$D,B89),"")</x:f>
        <x:v>0</x:v>
      </x:c>
      <x:c r="O89" s="50"/>
    </x:row>
    <x:row r="90">
      <x:c r="A90" s="53"/>
      <x:c r="B90" s="53"/>
      <x:c r="C90" s="53"/>
      <x:c r="D90" s="53"/>
      <x:c r="E90" s="58"/>
      <x:c r="F90" s="58"/>
      <x:c r="G90" s="59"/>
      <x:c r="H90" s="59" t="n">
        <x:f>SUMIF(Purchases!$D:$D,B90,Purchases!$F:$F)</x:f>
        <x:v>0</x:v>
      </x:c>
      <x:c r="I90" s="59" t="n">
        <x:f>SUMIF(Sales!$D:$D,B90,Sales!$G:$G)</x:f>
        <x:v>0</x:v>
      </x:c>
      <x:c r="J90" s="59" t="n">
        <x:f>G90+H90-I90</x:f>
        <x:v>0</x:v>
      </x:c>
      <x:c r="K90" s="58" t="n">
        <x:f>J90*E90</x:f>
        <x:v>0</x:v>
      </x:c>
      <x:c r="L90" s="59"/>
      <x:c r="M90" s="53"/>
      <x:c r="N90" s="60" t="n">
        <x:f>IFERROR(MAXIFS(Purchases!$B:$B,Purchases!$D:$D,B90),"")</x:f>
        <x:v>0</x:v>
      </x:c>
      <x:c r="O90" s="50"/>
    </x:row>
    <x:row r="91">
      <x:c r="A91" s="53"/>
      <x:c r="B91" s="53"/>
      <x:c r="C91" s="53"/>
      <x:c r="D91" s="53"/>
      <x:c r="E91" s="58"/>
      <x:c r="F91" s="58"/>
      <x:c r="G91" s="59"/>
      <x:c r="H91" s="59" t="n">
        <x:f>SUMIF(Purchases!$D:$D,B91,Purchases!$F:$F)</x:f>
        <x:v>0</x:v>
      </x:c>
      <x:c r="I91" s="59" t="n">
        <x:f>SUMIF(Sales!$D:$D,B91,Sales!$G:$G)</x:f>
        <x:v>0</x:v>
      </x:c>
      <x:c r="J91" s="59" t="n">
        <x:f>G91+H91-I91</x:f>
        <x:v>0</x:v>
      </x:c>
      <x:c r="K91" s="58" t="n">
        <x:f>J91*E91</x:f>
        <x:v>0</x:v>
      </x:c>
      <x:c r="L91" s="59"/>
      <x:c r="M91" s="53"/>
      <x:c r="N91" s="60" t="n">
        <x:f>IFERROR(MAXIFS(Purchases!$B:$B,Purchases!$D:$D,B91),"")</x:f>
        <x:v>0</x:v>
      </x:c>
      <x:c r="O91" s="50"/>
    </x:row>
    <x:row r="92">
      <x:c r="A92" s="53"/>
      <x:c r="B92" s="53"/>
      <x:c r="C92" s="53"/>
      <x:c r="D92" s="53"/>
      <x:c r="E92" s="58"/>
      <x:c r="F92" s="58"/>
      <x:c r="G92" s="59"/>
      <x:c r="H92" s="59" t="n">
        <x:f>SUMIF(Purchases!$D:$D,B92,Purchases!$F:$F)</x:f>
        <x:v>0</x:v>
      </x:c>
      <x:c r="I92" s="59" t="n">
        <x:f>SUMIF(Sales!$D:$D,B92,Sales!$G:$G)</x:f>
        <x:v>0</x:v>
      </x:c>
      <x:c r="J92" s="59" t="n">
        <x:f>G92+H92-I92</x:f>
        <x:v>0</x:v>
      </x:c>
      <x:c r="K92" s="58" t="n">
        <x:f>J92*E92</x:f>
        <x:v>0</x:v>
      </x:c>
      <x:c r="L92" s="59"/>
      <x:c r="M92" s="53"/>
      <x:c r="N92" s="60" t="n">
        <x:f>IFERROR(MAXIFS(Purchases!$B:$B,Purchases!$D:$D,B92),"")</x:f>
        <x:v>0</x:v>
      </x:c>
      <x:c r="O92" s="50"/>
    </x:row>
    <x:row r="93">
      <x:c r="A93" s="53"/>
      <x:c r="B93" s="53"/>
      <x:c r="C93" s="53"/>
      <x:c r="D93" s="53"/>
      <x:c r="E93" s="58"/>
      <x:c r="F93" s="58"/>
      <x:c r="G93" s="59"/>
      <x:c r="H93" s="59" t="n">
        <x:f>SUMIF(Purchases!$D:$D,B93,Purchases!$F:$F)</x:f>
        <x:v>0</x:v>
      </x:c>
      <x:c r="I93" s="59" t="n">
        <x:f>SUMIF(Sales!$D:$D,B93,Sales!$G:$G)</x:f>
        <x:v>0</x:v>
      </x:c>
      <x:c r="J93" s="59" t="n">
        <x:f>G93+H93-I93</x:f>
        <x:v>0</x:v>
      </x:c>
      <x:c r="K93" s="58" t="n">
        <x:f>J93*E93</x:f>
        <x:v>0</x:v>
      </x:c>
      <x:c r="L93" s="59"/>
      <x:c r="M93" s="53"/>
      <x:c r="N93" s="60" t="n">
        <x:f>IFERROR(MAXIFS(Purchases!$B:$B,Purchases!$D:$D,B93),"")</x:f>
        <x:v>0</x:v>
      </x:c>
      <x:c r="O93" s="50"/>
    </x:row>
    <x:row r="94">
      <x:c r="A94" s="53"/>
      <x:c r="B94" s="53"/>
      <x:c r="C94" s="53"/>
      <x:c r="D94" s="53"/>
      <x:c r="E94" s="58"/>
      <x:c r="F94" s="58"/>
      <x:c r="G94" s="59"/>
      <x:c r="H94" s="59" t="n">
        <x:f>SUMIF(Purchases!$D:$D,B94,Purchases!$F:$F)</x:f>
        <x:v>0</x:v>
      </x:c>
      <x:c r="I94" s="59" t="n">
        <x:f>SUMIF(Sales!$D:$D,B94,Sales!$G:$G)</x:f>
        <x:v>0</x:v>
      </x:c>
      <x:c r="J94" s="59" t="n">
        <x:f>G94+H94-I94</x:f>
        <x:v>0</x:v>
      </x:c>
      <x:c r="K94" s="58" t="n">
        <x:f>J94*E94</x:f>
        <x:v>0</x:v>
      </x:c>
      <x:c r="L94" s="59"/>
      <x:c r="M94" s="53"/>
      <x:c r="N94" s="60" t="n">
        <x:f>IFERROR(MAXIFS(Purchases!$B:$B,Purchases!$D:$D,B94),"")</x:f>
        <x:v>0</x:v>
      </x:c>
      <x:c r="O94" s="50"/>
    </x:row>
    <x:row r="95">
      <x:c r="A95" s="53"/>
      <x:c r="B95" s="53"/>
      <x:c r="C95" s="53"/>
      <x:c r="D95" s="53"/>
      <x:c r="E95" s="58"/>
      <x:c r="F95" s="58"/>
      <x:c r="G95" s="59"/>
      <x:c r="H95" s="59" t="n">
        <x:f>SUMIF(Purchases!$D:$D,B95,Purchases!$F:$F)</x:f>
        <x:v>0</x:v>
      </x:c>
      <x:c r="I95" s="59" t="n">
        <x:f>SUMIF(Sales!$D:$D,B95,Sales!$G:$G)</x:f>
        <x:v>0</x:v>
      </x:c>
      <x:c r="J95" s="59" t="n">
        <x:f>G95+H95-I95</x:f>
        <x:v>0</x:v>
      </x:c>
      <x:c r="K95" s="58" t="n">
        <x:f>J95*E95</x:f>
        <x:v>0</x:v>
      </x:c>
      <x:c r="L95" s="59"/>
      <x:c r="M95" s="53"/>
      <x:c r="N95" s="60" t="n">
        <x:f>IFERROR(MAXIFS(Purchases!$B:$B,Purchases!$D:$D,B95),"")</x:f>
        <x:v>0</x:v>
      </x:c>
      <x:c r="O95" s="50"/>
    </x:row>
    <x:row r="96">
      <x:c r="A96" s="53"/>
      <x:c r="B96" s="53"/>
      <x:c r="C96" s="53"/>
      <x:c r="D96" s="53"/>
      <x:c r="E96" s="58"/>
      <x:c r="F96" s="58"/>
      <x:c r="G96" s="59"/>
      <x:c r="H96" s="59" t="n">
        <x:f>SUMIF(Purchases!$D:$D,B96,Purchases!$F:$F)</x:f>
        <x:v>0</x:v>
      </x:c>
      <x:c r="I96" s="59" t="n">
        <x:f>SUMIF(Sales!$D:$D,B96,Sales!$G:$G)</x:f>
        <x:v>0</x:v>
      </x:c>
      <x:c r="J96" s="59" t="n">
        <x:f>G96+H96-I96</x:f>
        <x:v>0</x:v>
      </x:c>
      <x:c r="K96" s="58" t="n">
        <x:f>J96*E96</x:f>
        <x:v>0</x:v>
      </x:c>
      <x:c r="L96" s="59"/>
      <x:c r="M96" s="53"/>
      <x:c r="N96" s="60" t="n">
        <x:f>IFERROR(MAXIFS(Purchases!$B:$B,Purchases!$D:$D,B96),"")</x:f>
        <x:v>0</x:v>
      </x:c>
      <x:c r="O96" s="50"/>
    </x:row>
    <x:row r="97">
      <x:c r="A97" s="53"/>
      <x:c r="B97" s="53"/>
      <x:c r="C97" s="53"/>
      <x:c r="D97" s="53"/>
      <x:c r="E97" s="58"/>
      <x:c r="F97" s="58"/>
      <x:c r="G97" s="59"/>
      <x:c r="H97" s="59" t="n">
        <x:f>SUMIF(Purchases!$D:$D,B97,Purchases!$F:$F)</x:f>
        <x:v>0</x:v>
      </x:c>
      <x:c r="I97" s="59" t="n">
        <x:f>SUMIF(Sales!$D:$D,B97,Sales!$G:$G)</x:f>
        <x:v>0</x:v>
      </x:c>
      <x:c r="J97" s="59" t="n">
        <x:f>G97+H97-I97</x:f>
        <x:v>0</x:v>
      </x:c>
      <x:c r="K97" s="58" t="n">
        <x:f>J97*E97</x:f>
        <x:v>0</x:v>
      </x:c>
      <x:c r="L97" s="59"/>
      <x:c r="M97" s="53"/>
      <x:c r="N97" s="60" t="n">
        <x:f>IFERROR(MAXIFS(Purchases!$B:$B,Purchases!$D:$D,B97),"")</x:f>
        <x:v>0</x:v>
      </x:c>
      <x:c r="O97" s="50"/>
    </x:row>
    <x:row r="98">
      <x:c r="A98" s="53"/>
      <x:c r="B98" s="53"/>
      <x:c r="C98" s="53"/>
      <x:c r="D98" s="53"/>
      <x:c r="E98" s="58"/>
      <x:c r="F98" s="58"/>
      <x:c r="G98" s="59"/>
      <x:c r="H98" s="59" t="n">
        <x:f>SUMIF(Purchases!$D:$D,B98,Purchases!$F:$F)</x:f>
        <x:v>0</x:v>
      </x:c>
      <x:c r="I98" s="59" t="n">
        <x:f>SUMIF(Sales!$D:$D,B98,Sales!$G:$G)</x:f>
        <x:v>0</x:v>
      </x:c>
      <x:c r="J98" s="59" t="n">
        <x:f>G98+H98-I98</x:f>
        <x:v>0</x:v>
      </x:c>
      <x:c r="K98" s="58" t="n">
        <x:f>J98*E98</x:f>
        <x:v>0</x:v>
      </x:c>
      <x:c r="L98" s="59"/>
      <x:c r="M98" s="53"/>
      <x:c r="N98" s="60" t="n">
        <x:f>IFERROR(MAXIFS(Purchases!$B:$B,Purchases!$D:$D,B98),"")</x:f>
        <x:v>0</x:v>
      </x:c>
      <x:c r="O98" s="50"/>
    </x:row>
    <x:row r="99">
      <x:c r="A99" s="53"/>
      <x:c r="B99" s="53"/>
      <x:c r="C99" s="53"/>
      <x:c r="D99" s="53"/>
      <x:c r="E99" s="58"/>
      <x:c r="F99" s="58"/>
      <x:c r="G99" s="59"/>
      <x:c r="H99" s="59" t="n">
        <x:f>SUMIF(Purchases!$D:$D,B99,Purchases!$F:$F)</x:f>
        <x:v>0</x:v>
      </x:c>
      <x:c r="I99" s="59" t="n">
        <x:f>SUMIF(Sales!$D:$D,B99,Sales!$G:$G)</x:f>
        <x:v>0</x:v>
      </x:c>
      <x:c r="J99" s="59" t="n">
        <x:f>G99+H99-I99</x:f>
        <x:v>0</x:v>
      </x:c>
      <x:c r="K99" s="58" t="n">
        <x:f>J99*E99</x:f>
        <x:v>0</x:v>
      </x:c>
      <x:c r="L99" s="59"/>
      <x:c r="M99" s="53"/>
      <x:c r="N99" s="60" t="n">
        <x:f>IFERROR(MAXIFS(Purchases!$B:$B,Purchases!$D:$D,B99),"")</x:f>
        <x:v>0</x:v>
      </x:c>
      <x:c r="O99" s="50"/>
    </x:row>
    <x:row r="100">
      <x:c r="A100" s="53"/>
      <x:c r="B100" s="53"/>
      <x:c r="C100" s="53"/>
      <x:c r="D100" s="53"/>
      <x:c r="E100" s="58"/>
      <x:c r="F100" s="58"/>
      <x:c r="G100" s="59"/>
      <x:c r="H100" s="59" t="n">
        <x:f>SUMIF(Purchases!$D:$D,B100,Purchases!$F:$F)</x:f>
        <x:v>0</x:v>
      </x:c>
      <x:c r="I100" s="59" t="n">
        <x:f>SUMIF(Sales!$D:$D,B100,Sales!$G:$G)</x:f>
        <x:v>0</x:v>
      </x:c>
      <x:c r="J100" s="59" t="n">
        <x:f>G100+H100-I100</x:f>
        <x:v>0</x:v>
      </x:c>
      <x:c r="K100" s="58" t="n">
        <x:f>J100*E100</x:f>
        <x:v>0</x:v>
      </x:c>
      <x:c r="L100" s="59"/>
      <x:c r="M100" s="53"/>
      <x:c r="N100" s="60" t="n">
        <x:f>IFERROR(MAXIFS(Purchases!$B:$B,Purchases!$D:$D,B100),"")</x:f>
        <x:v>0</x:v>
      </x:c>
      <x:c r="O100" s="50"/>
    </x:row>
    <x:row r="101">
      <x:c r="A101" s="53"/>
      <x:c r="B101" s="53"/>
      <x:c r="C101" s="53"/>
      <x:c r="D101" s="53"/>
      <x:c r="E101" s="58"/>
      <x:c r="F101" s="58"/>
      <x:c r="G101" s="59"/>
      <x:c r="H101" s="59" t="n">
        <x:f>SUMIF(Purchases!$D:$D,B101,Purchases!$F:$F)</x:f>
        <x:v>0</x:v>
      </x:c>
      <x:c r="I101" s="59" t="n">
        <x:f>SUMIF(Sales!$D:$D,B101,Sales!$G:$G)</x:f>
        <x:v>0</x:v>
      </x:c>
      <x:c r="J101" s="59" t="n">
        <x:f>G101+H101-I101</x:f>
        <x:v>0</x:v>
      </x:c>
      <x:c r="K101" s="58" t="n">
        <x:f>J101*E101</x:f>
        <x:v>0</x:v>
      </x:c>
      <x:c r="L101" s="59"/>
      <x:c r="M101" s="53"/>
      <x:c r="N101" s="60" t="n">
        <x:f>IFERROR(MAXIFS(Purchases!$B:$B,Purchases!$D:$D,B101),"")</x:f>
        <x:v>0</x:v>
      </x:c>
      <x:c r="O101" s="50"/>
    </x:row>
    <x:row r="102">
      <x:c r="A102" s="53"/>
      <x:c r="B102" s="53"/>
      <x:c r="C102" s="53"/>
      <x:c r="D102" s="53"/>
      <x:c r="E102" s="58"/>
      <x:c r="F102" s="58"/>
      <x:c r="G102" s="59"/>
      <x:c r="H102" s="59" t="n">
        <x:f>SUMIF(Purchases!$D:$D,B102,Purchases!$F:$F)</x:f>
        <x:v>0</x:v>
      </x:c>
      <x:c r="I102" s="59" t="n">
        <x:f>SUMIF(Sales!$D:$D,B102,Sales!$G:$G)</x:f>
        <x:v>0</x:v>
      </x:c>
      <x:c r="J102" s="59" t="n">
        <x:f>G102+H102-I102</x:f>
        <x:v>0</x:v>
      </x:c>
      <x:c r="K102" s="58" t="n">
        <x:f>J102*E102</x:f>
        <x:v>0</x:v>
      </x:c>
      <x:c r="L102" s="59"/>
      <x:c r="M102" s="53"/>
      <x:c r="N102" s="60" t="n">
        <x:f>IFERROR(MAXIFS(Purchases!$B:$B,Purchases!$D:$D,B102),"")</x:f>
        <x:v>0</x:v>
      </x:c>
      <x:c r="O102" s="50"/>
    </x:row>
    <x:row r="103">
      <x:c r="A103" s="53"/>
      <x:c r="B103" s="53"/>
      <x:c r="C103" s="53"/>
      <x:c r="D103" s="53"/>
      <x:c r="E103" s="58"/>
      <x:c r="F103" s="58"/>
      <x:c r="G103" s="59"/>
      <x:c r="H103" s="59" t="n">
        <x:f>SUMIF(Purchases!$D:$D,B103,Purchases!$F:$F)</x:f>
        <x:v>0</x:v>
      </x:c>
      <x:c r="I103" s="59" t="n">
        <x:f>SUMIF(Sales!$D:$D,B103,Sales!$G:$G)</x:f>
        <x:v>0</x:v>
      </x:c>
      <x:c r="J103" s="59" t="n">
        <x:f>G103+H103-I103</x:f>
        <x:v>0</x:v>
      </x:c>
      <x:c r="K103" s="58" t="n">
        <x:f>J103*E103</x:f>
        <x:v>0</x:v>
      </x:c>
      <x:c r="L103" s="59"/>
      <x:c r="M103" s="53"/>
      <x:c r="N103" s="60" t="n">
        <x:f>IFERROR(MAXIFS(Purchases!$B:$B,Purchases!$D:$D,B103),"")</x:f>
        <x:v>0</x:v>
      </x:c>
      <x:c r="O103" s="50"/>
    </x:row>
    <x:row r="104">
      <x:c r="A104" s="53"/>
      <x:c r="B104" s="53"/>
      <x:c r="C104" s="53"/>
      <x:c r="D104" s="53"/>
      <x:c r="E104" s="58"/>
      <x:c r="F104" s="58"/>
      <x:c r="G104" s="59"/>
      <x:c r="H104" s="59" t="n">
        <x:f>SUMIF(Purchases!$D:$D,B104,Purchases!$F:$F)</x:f>
        <x:v>0</x:v>
      </x:c>
      <x:c r="I104" s="59" t="n">
        <x:f>SUMIF(Sales!$D:$D,B104,Sales!$G:$G)</x:f>
        <x:v>0</x:v>
      </x:c>
      <x:c r="J104" s="59" t="n">
        <x:f>G104+H104-I104</x:f>
        <x:v>0</x:v>
      </x:c>
      <x:c r="K104" s="58" t="n">
        <x:f>J104*E104</x:f>
        <x:v>0</x:v>
      </x:c>
      <x:c r="L104" s="59"/>
      <x:c r="M104" s="53"/>
      <x:c r="N104" s="60" t="n">
        <x:f>IFERROR(MAXIFS(Purchases!$B:$B,Purchases!$D:$D,B104),"")</x:f>
        <x:v>0</x:v>
      </x:c>
      <x:c r="O104" s="50"/>
    </x:row>
    <x:row r="105">
      <x:c r="A105" s="53"/>
      <x:c r="B105" s="53"/>
      <x:c r="C105" s="53"/>
      <x:c r="D105" s="53"/>
      <x:c r="E105" s="58"/>
      <x:c r="F105" s="58"/>
      <x:c r="G105" s="59"/>
      <x:c r="H105" s="59" t="n">
        <x:f>SUMIF(Purchases!$D:$D,B105,Purchases!$F:$F)</x:f>
        <x:v>0</x:v>
      </x:c>
      <x:c r="I105" s="59" t="n">
        <x:f>SUMIF(Sales!$D:$D,B105,Sales!$G:$G)</x:f>
        <x:v>0</x:v>
      </x:c>
      <x:c r="J105" s="59" t="n">
        <x:f>G105+H105-I105</x:f>
        <x:v>0</x:v>
      </x:c>
      <x:c r="K105" s="58" t="n">
        <x:f>J105*E105</x:f>
        <x:v>0</x:v>
      </x:c>
      <x:c r="L105" s="59"/>
      <x:c r="M105" s="53"/>
      <x:c r="N105" s="60" t="n">
        <x:f>IFERROR(MAXIFS(Purchases!$B:$B,Purchases!$D:$D,B105),"")</x:f>
        <x:v>0</x:v>
      </x:c>
      <x:c r="O105" s="50"/>
    </x:row>
    <x:row r="106">
      <x:c r="A106" s="53"/>
      <x:c r="B106" s="53"/>
      <x:c r="C106" s="53"/>
      <x:c r="D106" s="53"/>
      <x:c r="E106" s="58"/>
      <x:c r="F106" s="58"/>
      <x:c r="G106" s="59"/>
      <x:c r="H106" s="59" t="n">
        <x:f>SUMIF(Purchases!$D:$D,B106,Purchases!$F:$F)</x:f>
        <x:v>0</x:v>
      </x:c>
      <x:c r="I106" s="59" t="n">
        <x:f>SUMIF(Sales!$D:$D,B106,Sales!$G:$G)</x:f>
        <x:v>0</x:v>
      </x:c>
      <x:c r="J106" s="59" t="n">
        <x:f>G106+H106-I106</x:f>
        <x:v>0</x:v>
      </x:c>
      <x:c r="K106" s="58" t="n">
        <x:f>J106*E106</x:f>
        <x:v>0</x:v>
      </x:c>
      <x:c r="L106" s="59"/>
      <x:c r="M106" s="53"/>
      <x:c r="N106" s="60" t="n">
        <x:f>IFERROR(MAXIFS(Purchases!$B:$B,Purchases!$D:$D,B106),"")</x:f>
        <x:v>0</x:v>
      </x:c>
      <x:c r="O106" s="50"/>
    </x:row>
    <x:row r="107">
      <x:c r="A107" s="53"/>
      <x:c r="B107" s="53"/>
      <x:c r="C107" s="53"/>
      <x:c r="D107" s="53"/>
      <x:c r="E107" s="58"/>
      <x:c r="F107" s="58"/>
      <x:c r="G107" s="59"/>
      <x:c r="H107" s="59" t="n">
        <x:f>SUMIF(Purchases!$D:$D,B107,Purchases!$F:$F)</x:f>
        <x:v>0</x:v>
      </x:c>
      <x:c r="I107" s="59" t="n">
        <x:f>SUMIF(Sales!$D:$D,B107,Sales!$G:$G)</x:f>
        <x:v>0</x:v>
      </x:c>
      <x:c r="J107" s="59" t="n">
        <x:f>G107+H107-I107</x:f>
        <x:v>0</x:v>
      </x:c>
      <x:c r="K107" s="58" t="n">
        <x:f>J107*E107</x:f>
        <x:v>0</x:v>
      </x:c>
      <x:c r="L107" s="59"/>
      <x:c r="M107" s="53"/>
      <x:c r="N107" s="60" t="n">
        <x:f>IFERROR(MAXIFS(Purchases!$B:$B,Purchases!$D:$D,B107),"")</x:f>
        <x:v>0</x:v>
      </x:c>
      <x:c r="O107" s="50"/>
    </x:row>
    <x:row r="108">
      <x:c r="A108" s="53"/>
      <x:c r="B108" s="53"/>
      <x:c r="C108" s="53"/>
      <x:c r="D108" s="53"/>
      <x:c r="E108" s="58"/>
      <x:c r="F108" s="58"/>
      <x:c r="G108" s="59"/>
      <x:c r="H108" s="59" t="n">
        <x:f>SUMIF(Purchases!$D:$D,B108,Purchases!$F:$F)</x:f>
        <x:v>0</x:v>
      </x:c>
      <x:c r="I108" s="59" t="n">
        <x:f>SUMIF(Sales!$D:$D,B108,Sales!$G:$G)</x:f>
        <x:v>0</x:v>
      </x:c>
      <x:c r="J108" s="59" t="n">
        <x:f>G108+H108-I108</x:f>
        <x:v>0</x:v>
      </x:c>
      <x:c r="K108" s="58" t="n">
        <x:f>J108*E108</x:f>
        <x:v>0</x:v>
      </x:c>
      <x:c r="L108" s="59"/>
      <x:c r="M108" s="53"/>
      <x:c r="N108" s="60" t="n">
        <x:f>IFERROR(MAXIFS(Purchases!$B:$B,Purchases!$D:$D,B108),"")</x:f>
        <x:v>0</x:v>
      </x:c>
      <x:c r="O108" s="50"/>
    </x:row>
    <x:row r="109">
      <x:c r="A109" s="53"/>
      <x:c r="B109" s="53"/>
      <x:c r="C109" s="53"/>
      <x:c r="D109" s="53"/>
      <x:c r="E109" s="58"/>
      <x:c r="F109" s="58"/>
      <x:c r="G109" s="59"/>
      <x:c r="H109" s="59" t="n">
        <x:f>SUMIF(Purchases!$D:$D,B109,Purchases!$F:$F)</x:f>
        <x:v>0</x:v>
      </x:c>
      <x:c r="I109" s="59" t="n">
        <x:f>SUMIF(Sales!$D:$D,B109,Sales!$G:$G)</x:f>
        <x:v>0</x:v>
      </x:c>
      <x:c r="J109" s="59" t="n">
        <x:f>G109+H109-I109</x:f>
        <x:v>0</x:v>
      </x:c>
      <x:c r="K109" s="58" t="n">
        <x:f>J109*E109</x:f>
        <x:v>0</x:v>
      </x:c>
      <x:c r="L109" s="59"/>
      <x:c r="M109" s="53"/>
      <x:c r="N109" s="60" t="n">
        <x:f>IFERROR(MAXIFS(Purchases!$B:$B,Purchases!$D:$D,B109),"")</x:f>
        <x:v>0</x:v>
      </x:c>
      <x:c r="O109" s="50"/>
    </x:row>
    <x:row r="110">
      <x:c r="A110" s="53"/>
      <x:c r="B110" s="53"/>
      <x:c r="C110" s="53"/>
      <x:c r="D110" s="53"/>
      <x:c r="E110" s="58"/>
      <x:c r="F110" s="58"/>
      <x:c r="G110" s="59"/>
      <x:c r="H110" s="59" t="n">
        <x:f>SUMIF(Purchases!$D:$D,B110,Purchases!$F:$F)</x:f>
        <x:v>0</x:v>
      </x:c>
      <x:c r="I110" s="59" t="n">
        <x:f>SUMIF(Sales!$D:$D,B110,Sales!$G:$G)</x:f>
        <x:v>0</x:v>
      </x:c>
      <x:c r="J110" s="59" t="n">
        <x:f>G110+H110-I110</x:f>
        <x:v>0</x:v>
      </x:c>
      <x:c r="K110" s="58" t="n">
        <x:f>J110*E110</x:f>
        <x:v>0</x:v>
      </x:c>
      <x:c r="L110" s="59"/>
      <x:c r="M110" s="53"/>
      <x:c r="N110" s="60" t="n">
        <x:f>IFERROR(MAXIFS(Purchases!$B:$B,Purchases!$D:$D,B110),"")</x:f>
        <x:v>0</x:v>
      </x:c>
      <x:c r="O110" s="50"/>
    </x:row>
    <x:row r="111">
      <x:c r="A111" s="53"/>
      <x:c r="B111" s="53"/>
      <x:c r="C111" s="53"/>
      <x:c r="D111" s="53"/>
      <x:c r="E111" s="58"/>
      <x:c r="F111" s="58"/>
      <x:c r="G111" s="59"/>
      <x:c r="H111" s="59" t="n">
        <x:f>SUMIF(Purchases!$D:$D,B111,Purchases!$F:$F)</x:f>
        <x:v>0</x:v>
      </x:c>
      <x:c r="I111" s="59" t="n">
        <x:f>SUMIF(Sales!$D:$D,B111,Sales!$G:$G)</x:f>
        <x:v>0</x:v>
      </x:c>
      <x:c r="J111" s="59" t="n">
        <x:f>G111+H111-I111</x:f>
        <x:v>0</x:v>
      </x:c>
      <x:c r="K111" s="58" t="n">
        <x:f>J111*E111</x:f>
        <x:v>0</x:v>
      </x:c>
      <x:c r="L111" s="59"/>
      <x:c r="M111" s="53"/>
      <x:c r="N111" s="60" t="n">
        <x:f>IFERROR(MAXIFS(Purchases!$B:$B,Purchases!$D:$D,B111),"")</x:f>
        <x:v>0</x:v>
      </x:c>
      <x:c r="O111" s="50"/>
    </x:row>
    <x:row r="112">
      <x:c r="A112" s="53"/>
      <x:c r="B112" s="53"/>
      <x:c r="C112" s="53"/>
      <x:c r="D112" s="53"/>
      <x:c r="E112" s="58"/>
      <x:c r="F112" s="58"/>
      <x:c r="G112" s="59"/>
      <x:c r="H112" s="59" t="n">
        <x:f>SUMIF(Purchases!$D:$D,B112,Purchases!$F:$F)</x:f>
        <x:v>0</x:v>
      </x:c>
      <x:c r="I112" s="59" t="n">
        <x:f>SUMIF(Sales!$D:$D,B112,Sales!$G:$G)</x:f>
        <x:v>0</x:v>
      </x:c>
      <x:c r="J112" s="59" t="n">
        <x:f>G112+H112-I112</x:f>
        <x:v>0</x:v>
      </x:c>
      <x:c r="K112" s="58" t="n">
        <x:f>J112*E112</x:f>
        <x:v>0</x:v>
      </x:c>
      <x:c r="L112" s="59"/>
      <x:c r="M112" s="53"/>
      <x:c r="N112" s="60" t="n">
        <x:f>IFERROR(MAXIFS(Purchases!$B:$B,Purchases!$D:$D,B112),"")</x:f>
        <x:v>0</x:v>
      </x:c>
      <x:c r="O112" s="50"/>
    </x:row>
    <x:row r="113">
      <x:c r="A113" s="53"/>
      <x:c r="B113" s="53"/>
      <x:c r="C113" s="53"/>
      <x:c r="D113" s="53"/>
      <x:c r="E113" s="58"/>
      <x:c r="F113" s="58"/>
      <x:c r="G113" s="59"/>
      <x:c r="H113" s="59" t="n">
        <x:f>SUMIF(Purchases!$D:$D,B113,Purchases!$F:$F)</x:f>
        <x:v>0</x:v>
      </x:c>
      <x:c r="I113" s="59" t="n">
        <x:f>SUMIF(Sales!$D:$D,B113,Sales!$G:$G)</x:f>
        <x:v>0</x:v>
      </x:c>
      <x:c r="J113" s="59" t="n">
        <x:f>G113+H113-I113</x:f>
        <x:v>0</x:v>
      </x:c>
      <x:c r="K113" s="58" t="n">
        <x:f>J113*E113</x:f>
        <x:v>0</x:v>
      </x:c>
      <x:c r="L113" s="59"/>
      <x:c r="M113" s="53"/>
      <x:c r="N113" s="60" t="n">
        <x:f>IFERROR(MAXIFS(Purchases!$B:$B,Purchases!$D:$D,B113),"")</x:f>
        <x:v>0</x:v>
      </x:c>
      <x:c r="O113" s="50"/>
    </x:row>
    <x:row r="114">
      <x:c r="A114" s="53"/>
      <x:c r="B114" s="53"/>
      <x:c r="C114" s="53"/>
      <x:c r="D114" s="53"/>
      <x:c r="E114" s="58"/>
      <x:c r="F114" s="58"/>
      <x:c r="G114" s="59"/>
      <x:c r="H114" s="59" t="n">
        <x:f>SUMIF(Purchases!$D:$D,B114,Purchases!$F:$F)</x:f>
        <x:v>0</x:v>
      </x:c>
      <x:c r="I114" s="59" t="n">
        <x:f>SUMIF(Sales!$D:$D,B114,Sales!$G:$G)</x:f>
        <x:v>0</x:v>
      </x:c>
      <x:c r="J114" s="59" t="n">
        <x:f>G114+H114-I114</x:f>
        <x:v>0</x:v>
      </x:c>
      <x:c r="K114" s="58" t="n">
        <x:f>J114*E114</x:f>
        <x:v>0</x:v>
      </x:c>
      <x:c r="L114" s="59"/>
      <x:c r="M114" s="53"/>
      <x:c r="N114" s="60" t="n">
        <x:f>IFERROR(MAXIFS(Purchases!$B:$B,Purchases!$D:$D,B114),"")</x:f>
        <x:v>0</x:v>
      </x:c>
      <x:c r="O114" s="50"/>
    </x:row>
    <x:row r="115">
      <x:c r="A115" s="53"/>
      <x:c r="B115" s="53"/>
      <x:c r="C115" s="53"/>
      <x:c r="D115" s="53"/>
      <x:c r="E115" s="58"/>
      <x:c r="F115" s="58"/>
      <x:c r="G115" s="59"/>
      <x:c r="H115" s="59" t="n">
        <x:f>SUMIF(Purchases!$D:$D,B115,Purchases!$F:$F)</x:f>
        <x:v>0</x:v>
      </x:c>
      <x:c r="I115" s="59" t="n">
        <x:f>SUMIF(Sales!$D:$D,B115,Sales!$G:$G)</x:f>
        <x:v>0</x:v>
      </x:c>
      <x:c r="J115" s="59" t="n">
        <x:f>G115+H115-I115</x:f>
        <x:v>0</x:v>
      </x:c>
      <x:c r="K115" s="58" t="n">
        <x:f>J115*E115</x:f>
        <x:v>0</x:v>
      </x:c>
      <x:c r="L115" s="59"/>
      <x:c r="M115" s="53"/>
      <x:c r="N115" s="60" t="n">
        <x:f>IFERROR(MAXIFS(Purchases!$B:$B,Purchases!$D:$D,B115),"")</x:f>
        <x:v>0</x:v>
      </x:c>
      <x:c r="O115" s="50"/>
    </x:row>
    <x:row r="116">
      <x:c r="A116" s="53"/>
      <x:c r="B116" s="53"/>
      <x:c r="C116" s="53"/>
      <x:c r="D116" s="53"/>
      <x:c r="E116" s="58"/>
      <x:c r="F116" s="58"/>
      <x:c r="G116" s="59"/>
      <x:c r="H116" s="59" t="n">
        <x:f>SUMIF(Purchases!$D:$D,B116,Purchases!$F:$F)</x:f>
        <x:v>0</x:v>
      </x:c>
      <x:c r="I116" s="59" t="n">
        <x:f>SUMIF(Sales!$D:$D,B116,Sales!$G:$G)</x:f>
        <x:v>0</x:v>
      </x:c>
      <x:c r="J116" s="59" t="n">
        <x:f>G116+H116-I116</x:f>
        <x:v>0</x:v>
      </x:c>
      <x:c r="K116" s="58" t="n">
        <x:f>J116*E116</x:f>
        <x:v>0</x:v>
      </x:c>
      <x:c r="L116" s="59"/>
      <x:c r="M116" s="53"/>
      <x:c r="N116" s="60" t="n">
        <x:f>IFERROR(MAXIFS(Purchases!$B:$B,Purchases!$D:$D,B116),"")</x:f>
        <x:v>0</x:v>
      </x:c>
      <x:c r="O116" s="50"/>
    </x:row>
    <x:row r="117">
      <x:c r="A117" s="53"/>
      <x:c r="B117" s="53"/>
      <x:c r="C117" s="53"/>
      <x:c r="D117" s="53"/>
      <x:c r="E117" s="58"/>
      <x:c r="F117" s="58"/>
      <x:c r="G117" s="59"/>
      <x:c r="H117" s="59" t="n">
        <x:f>SUMIF(Purchases!$D:$D,B117,Purchases!$F:$F)</x:f>
        <x:v>0</x:v>
      </x:c>
      <x:c r="I117" s="59" t="n">
        <x:f>SUMIF(Sales!$D:$D,B117,Sales!$G:$G)</x:f>
        <x:v>0</x:v>
      </x:c>
      <x:c r="J117" s="59" t="n">
        <x:f>G117+H117-I117</x:f>
        <x:v>0</x:v>
      </x:c>
      <x:c r="K117" s="58" t="n">
        <x:f>J117*E117</x:f>
        <x:v>0</x:v>
      </x:c>
      <x:c r="L117" s="59"/>
      <x:c r="M117" s="53"/>
      <x:c r="N117" s="60" t="n">
        <x:f>IFERROR(MAXIFS(Purchases!$B:$B,Purchases!$D:$D,B117),"")</x:f>
        <x:v>0</x:v>
      </x:c>
      <x:c r="O117" s="50"/>
    </x:row>
    <x:row r="118">
      <x:c r="A118" s="53"/>
      <x:c r="B118" s="53"/>
      <x:c r="C118" s="53"/>
      <x:c r="D118" s="53"/>
      <x:c r="E118" s="58"/>
      <x:c r="F118" s="58"/>
      <x:c r="G118" s="59"/>
      <x:c r="H118" s="59" t="n">
        <x:f>SUMIF(Purchases!$D:$D,B118,Purchases!$F:$F)</x:f>
        <x:v>0</x:v>
      </x:c>
      <x:c r="I118" s="59" t="n">
        <x:f>SUMIF(Sales!$D:$D,B118,Sales!$G:$G)</x:f>
        <x:v>0</x:v>
      </x:c>
      <x:c r="J118" s="59" t="n">
        <x:f>G118+H118-I118</x:f>
        <x:v>0</x:v>
      </x:c>
      <x:c r="K118" s="58" t="n">
        <x:f>J118*E118</x:f>
        <x:v>0</x:v>
      </x:c>
      <x:c r="L118" s="59"/>
      <x:c r="M118" s="53"/>
      <x:c r="N118" s="60" t="n">
        <x:f>IFERROR(MAXIFS(Purchases!$B:$B,Purchases!$D:$D,B118),"")</x:f>
        <x:v>0</x:v>
      </x:c>
      <x:c r="O118" s="50"/>
    </x:row>
    <x:row r="119">
      <x:c r="A119" s="53"/>
      <x:c r="B119" s="53"/>
      <x:c r="C119" s="53"/>
      <x:c r="D119" s="53"/>
      <x:c r="E119" s="58"/>
      <x:c r="F119" s="58"/>
      <x:c r="G119" s="59"/>
      <x:c r="H119" s="59" t="n">
        <x:f>SUMIF(Purchases!$D:$D,B119,Purchases!$F:$F)</x:f>
        <x:v>0</x:v>
      </x:c>
      <x:c r="I119" s="59" t="n">
        <x:f>SUMIF(Sales!$D:$D,B119,Sales!$G:$G)</x:f>
        <x:v>0</x:v>
      </x:c>
      <x:c r="J119" s="59" t="n">
        <x:f>G119+H119-I119</x:f>
        <x:v>0</x:v>
      </x:c>
      <x:c r="K119" s="58" t="n">
        <x:f>J119*E119</x:f>
        <x:v>0</x:v>
      </x:c>
      <x:c r="L119" s="59"/>
      <x:c r="M119" s="53"/>
      <x:c r="N119" s="60" t="n">
        <x:f>IFERROR(MAXIFS(Purchases!$B:$B,Purchases!$D:$D,B119),"")</x:f>
        <x:v>0</x:v>
      </x:c>
      <x:c r="O119" s="50"/>
    </x:row>
    <x:row r="120">
      <x:c r="A120" s="53"/>
      <x:c r="B120" s="53"/>
      <x:c r="C120" s="53"/>
      <x:c r="D120" s="53"/>
      <x:c r="E120" s="58"/>
      <x:c r="F120" s="58"/>
      <x:c r="G120" s="59"/>
      <x:c r="H120" s="59" t="n">
        <x:f>SUMIF(Purchases!$D:$D,B120,Purchases!$F:$F)</x:f>
        <x:v>0</x:v>
      </x:c>
      <x:c r="I120" s="59" t="n">
        <x:f>SUMIF(Sales!$D:$D,B120,Sales!$G:$G)</x:f>
        <x:v>0</x:v>
      </x:c>
      <x:c r="J120" s="59" t="n">
        <x:f>G120+H120-I120</x:f>
        <x:v>0</x:v>
      </x:c>
      <x:c r="K120" s="58" t="n">
        <x:f>J120*E120</x:f>
        <x:v>0</x:v>
      </x:c>
      <x:c r="L120" s="59"/>
      <x:c r="M120" s="53"/>
      <x:c r="N120" s="60" t="n">
        <x:f>IFERROR(MAXIFS(Purchases!$B:$B,Purchases!$D:$D,B120),"")</x:f>
        <x:v>0</x:v>
      </x:c>
      <x:c r="O120" s="50"/>
    </x:row>
    <x:row r="121">
      <x:c r="A121" s="53"/>
      <x:c r="B121" s="53"/>
      <x:c r="C121" s="53"/>
      <x:c r="D121" s="53"/>
      <x:c r="E121" s="58"/>
      <x:c r="F121" s="58"/>
      <x:c r="G121" s="59"/>
      <x:c r="H121" s="59" t="n">
        <x:f>SUMIF(Purchases!$D:$D,B121,Purchases!$F:$F)</x:f>
        <x:v>0</x:v>
      </x:c>
      <x:c r="I121" s="59" t="n">
        <x:f>SUMIF(Sales!$D:$D,B121,Sales!$G:$G)</x:f>
        <x:v>0</x:v>
      </x:c>
      <x:c r="J121" s="59" t="n">
        <x:f>G121+H121-I121</x:f>
        <x:v>0</x:v>
      </x:c>
      <x:c r="K121" s="58" t="n">
        <x:f>J121*E121</x:f>
        <x:v>0</x:v>
      </x:c>
      <x:c r="L121" s="59"/>
      <x:c r="M121" s="53"/>
      <x:c r="N121" s="60" t="n">
        <x:f>IFERROR(MAXIFS(Purchases!$B:$B,Purchases!$D:$D,B121),"")</x:f>
        <x:v>0</x:v>
      </x:c>
      <x:c r="O121" s="50"/>
    </x:row>
    <x:row r="122">
      <x:c r="A122" s="53"/>
      <x:c r="B122" s="53"/>
      <x:c r="C122" s="53"/>
      <x:c r="D122" s="53"/>
      <x:c r="E122" s="58"/>
      <x:c r="F122" s="58"/>
      <x:c r="G122" s="59"/>
      <x:c r="H122" s="59" t="n">
        <x:f>SUMIF(Purchases!$D:$D,B122,Purchases!$F:$F)</x:f>
        <x:v>0</x:v>
      </x:c>
      <x:c r="I122" s="59" t="n">
        <x:f>SUMIF(Sales!$D:$D,B122,Sales!$G:$G)</x:f>
        <x:v>0</x:v>
      </x:c>
      <x:c r="J122" s="59" t="n">
        <x:f>G122+H122-I122</x:f>
        <x:v>0</x:v>
      </x:c>
      <x:c r="K122" s="58" t="n">
        <x:f>J122*E122</x:f>
        <x:v>0</x:v>
      </x:c>
      <x:c r="L122" s="59"/>
      <x:c r="M122" s="53"/>
      <x:c r="N122" s="60" t="n">
        <x:f>IFERROR(MAXIFS(Purchases!$B:$B,Purchases!$D:$D,B122),"")</x:f>
        <x:v>0</x:v>
      </x:c>
      <x:c r="O122" s="50"/>
    </x:row>
    <x:row r="123">
      <x:c r="A123" s="53"/>
      <x:c r="B123" s="53"/>
      <x:c r="C123" s="53"/>
      <x:c r="D123" s="53"/>
      <x:c r="E123" s="58"/>
      <x:c r="F123" s="58"/>
      <x:c r="G123" s="59"/>
      <x:c r="H123" s="59" t="n">
        <x:f>SUMIF(Purchases!$D:$D,B123,Purchases!$F:$F)</x:f>
        <x:v>0</x:v>
      </x:c>
      <x:c r="I123" s="59" t="n">
        <x:f>SUMIF(Sales!$D:$D,B123,Sales!$G:$G)</x:f>
        <x:v>0</x:v>
      </x:c>
      <x:c r="J123" s="59" t="n">
        <x:f>G123+H123-I123</x:f>
        <x:v>0</x:v>
      </x:c>
      <x:c r="K123" s="58" t="n">
        <x:f>J123*E123</x:f>
        <x:v>0</x:v>
      </x:c>
      <x:c r="L123" s="59"/>
      <x:c r="M123" s="53"/>
      <x:c r="N123" s="60" t="n">
        <x:f>IFERROR(MAXIFS(Purchases!$B:$B,Purchases!$D:$D,B123),"")</x:f>
        <x:v>0</x:v>
      </x:c>
      <x:c r="O123" s="50"/>
    </x:row>
    <x:row r="124">
      <x:c r="A124" s="53"/>
      <x:c r="B124" s="53"/>
      <x:c r="C124" s="53"/>
      <x:c r="D124" s="53"/>
      <x:c r="E124" s="58"/>
      <x:c r="F124" s="58"/>
      <x:c r="G124" s="59"/>
      <x:c r="H124" s="59" t="n">
        <x:f>SUMIF(Purchases!$D:$D,B124,Purchases!$F:$F)</x:f>
        <x:v>0</x:v>
      </x:c>
      <x:c r="I124" s="59" t="n">
        <x:f>SUMIF(Sales!$D:$D,B124,Sales!$G:$G)</x:f>
        <x:v>0</x:v>
      </x:c>
      <x:c r="J124" s="59" t="n">
        <x:f>G124+H124-I124</x:f>
        <x:v>0</x:v>
      </x:c>
      <x:c r="K124" s="58" t="n">
        <x:f>J124*E124</x:f>
        <x:v>0</x:v>
      </x:c>
      <x:c r="L124" s="59"/>
      <x:c r="M124" s="53"/>
      <x:c r="N124" s="60" t="n">
        <x:f>IFERROR(MAXIFS(Purchases!$B:$B,Purchases!$D:$D,B124),"")</x:f>
        <x:v>0</x:v>
      </x:c>
      <x:c r="O124" s="50"/>
    </x:row>
    <x:row r="125">
      <x:c r="A125" s="53"/>
      <x:c r="B125" s="53"/>
      <x:c r="C125" s="53"/>
      <x:c r="D125" s="53"/>
      <x:c r="E125" s="58"/>
      <x:c r="F125" s="58"/>
      <x:c r="G125" s="59"/>
      <x:c r="H125" s="59" t="n">
        <x:f>SUMIF(Purchases!$D:$D,B125,Purchases!$F:$F)</x:f>
        <x:v>0</x:v>
      </x:c>
      <x:c r="I125" s="59" t="n">
        <x:f>SUMIF(Sales!$D:$D,B125,Sales!$G:$G)</x:f>
        <x:v>0</x:v>
      </x:c>
      <x:c r="J125" s="59" t="n">
        <x:f>G125+H125-I125</x:f>
        <x:v>0</x:v>
      </x:c>
      <x:c r="K125" s="58" t="n">
        <x:f>J125*E125</x:f>
        <x:v>0</x:v>
      </x:c>
      <x:c r="L125" s="59"/>
      <x:c r="M125" s="53"/>
      <x:c r="N125" s="60" t="n">
        <x:f>IFERROR(MAXIFS(Purchases!$B:$B,Purchases!$D:$D,B125),"")</x:f>
        <x:v>0</x:v>
      </x:c>
      <x:c r="O125" s="50"/>
    </x:row>
    <x:row r="126">
      <x:c r="A126" s="53"/>
      <x:c r="B126" s="53"/>
      <x:c r="C126" s="53"/>
      <x:c r="D126" s="53"/>
      <x:c r="E126" s="58"/>
      <x:c r="F126" s="58"/>
      <x:c r="G126" s="59"/>
      <x:c r="H126" s="59" t="n">
        <x:f>SUMIF(Purchases!$D:$D,B126,Purchases!$F:$F)</x:f>
        <x:v>0</x:v>
      </x:c>
      <x:c r="I126" s="59" t="n">
        <x:f>SUMIF(Sales!$D:$D,B126,Sales!$G:$G)</x:f>
        <x:v>0</x:v>
      </x:c>
      <x:c r="J126" s="59" t="n">
        <x:f>G126+H126-I126</x:f>
        <x:v>0</x:v>
      </x:c>
      <x:c r="K126" s="58" t="n">
        <x:f>J126*E126</x:f>
        <x:v>0</x:v>
      </x:c>
      <x:c r="L126" s="59"/>
      <x:c r="M126" s="53"/>
      <x:c r="N126" s="60" t="n">
        <x:f>IFERROR(MAXIFS(Purchases!$B:$B,Purchases!$D:$D,B126),"")</x:f>
        <x:v>0</x:v>
      </x:c>
      <x:c r="O126" s="50"/>
    </x:row>
    <x:row r="127">
      <x:c r="A127" s="53"/>
      <x:c r="B127" s="53"/>
      <x:c r="C127" s="53"/>
      <x:c r="D127" s="53"/>
      <x:c r="E127" s="58"/>
      <x:c r="F127" s="58"/>
      <x:c r="G127" s="59"/>
      <x:c r="H127" s="59" t="n">
        <x:f>SUMIF(Purchases!$D:$D,B127,Purchases!$F:$F)</x:f>
        <x:v>0</x:v>
      </x:c>
      <x:c r="I127" s="59" t="n">
        <x:f>SUMIF(Sales!$D:$D,B127,Sales!$G:$G)</x:f>
        <x:v>0</x:v>
      </x:c>
      <x:c r="J127" s="59" t="n">
        <x:f>G127+H127-I127</x:f>
        <x:v>0</x:v>
      </x:c>
      <x:c r="K127" s="58" t="n">
        <x:f>J127*E127</x:f>
        <x:v>0</x:v>
      </x:c>
      <x:c r="L127" s="59"/>
      <x:c r="M127" s="53"/>
      <x:c r="N127" s="60" t="n">
        <x:f>IFERROR(MAXIFS(Purchases!$B:$B,Purchases!$D:$D,B127),"")</x:f>
        <x:v>0</x:v>
      </x:c>
      <x:c r="O127" s="50"/>
    </x:row>
    <x:row r="128">
      <x:c r="A128" s="53"/>
      <x:c r="B128" s="53"/>
      <x:c r="C128" s="53"/>
      <x:c r="D128" s="53"/>
      <x:c r="E128" s="58"/>
      <x:c r="F128" s="58"/>
      <x:c r="G128" s="59"/>
      <x:c r="H128" s="59" t="n">
        <x:f>SUMIF(Purchases!$D:$D,B128,Purchases!$F:$F)</x:f>
        <x:v>0</x:v>
      </x:c>
      <x:c r="I128" s="59" t="n">
        <x:f>SUMIF(Sales!$D:$D,B128,Sales!$G:$G)</x:f>
        <x:v>0</x:v>
      </x:c>
      <x:c r="J128" s="59" t="n">
        <x:f>G128+H128-I128</x:f>
        <x:v>0</x:v>
      </x:c>
      <x:c r="K128" s="58" t="n">
        <x:f>J128*E128</x:f>
        <x:v>0</x:v>
      </x:c>
      <x:c r="L128" s="59"/>
      <x:c r="M128" s="53"/>
      <x:c r="N128" s="60" t="n">
        <x:f>IFERROR(MAXIFS(Purchases!$B:$B,Purchases!$D:$D,B128),"")</x:f>
        <x:v>0</x:v>
      </x:c>
      <x:c r="O128" s="50"/>
    </x:row>
    <x:row r="129">
      <x:c r="A129" s="53"/>
      <x:c r="B129" s="53"/>
      <x:c r="C129" s="53"/>
      <x:c r="D129" s="53"/>
      <x:c r="E129" s="58"/>
      <x:c r="F129" s="58"/>
      <x:c r="G129" s="59"/>
      <x:c r="H129" s="59" t="n">
        <x:f>SUMIF(Purchases!$D:$D,B129,Purchases!$F:$F)</x:f>
        <x:v>0</x:v>
      </x:c>
      <x:c r="I129" s="59" t="n">
        <x:f>SUMIF(Sales!$D:$D,B129,Sales!$G:$G)</x:f>
        <x:v>0</x:v>
      </x:c>
      <x:c r="J129" s="59" t="n">
        <x:f>G129+H129-I129</x:f>
        <x:v>0</x:v>
      </x:c>
      <x:c r="K129" s="58" t="n">
        <x:f>J129*E129</x:f>
        <x:v>0</x:v>
      </x:c>
      <x:c r="L129" s="59"/>
      <x:c r="M129" s="53"/>
      <x:c r="N129" s="60" t="n">
        <x:f>IFERROR(MAXIFS(Purchases!$B:$B,Purchases!$D:$D,B129),"")</x:f>
        <x:v>0</x:v>
      </x:c>
      <x:c r="O129" s="50"/>
    </x:row>
    <x:row r="130">
      <x:c r="A130" s="53"/>
      <x:c r="B130" s="53"/>
      <x:c r="C130" s="53"/>
      <x:c r="D130" s="53"/>
      <x:c r="E130" s="58"/>
      <x:c r="F130" s="58"/>
      <x:c r="G130" s="59"/>
      <x:c r="H130" s="59" t="n">
        <x:f>SUMIF(Purchases!$D:$D,B130,Purchases!$F:$F)</x:f>
        <x:v>0</x:v>
      </x:c>
      <x:c r="I130" s="59" t="n">
        <x:f>SUMIF(Sales!$D:$D,B130,Sales!$G:$G)</x:f>
        <x:v>0</x:v>
      </x:c>
      <x:c r="J130" s="59" t="n">
        <x:f>G130+H130-I130</x:f>
        <x:v>0</x:v>
      </x:c>
      <x:c r="K130" s="58" t="n">
        <x:f>J130*E130</x:f>
        <x:v>0</x:v>
      </x:c>
      <x:c r="L130" s="59"/>
      <x:c r="M130" s="53"/>
      <x:c r="N130" s="60" t="n">
        <x:f>IFERROR(MAXIFS(Purchases!$B:$B,Purchases!$D:$D,B130),"")</x:f>
        <x:v>0</x:v>
      </x:c>
      <x:c r="O130" s="50"/>
    </x:row>
    <x:row r="131">
      <x:c r="A131" s="53"/>
      <x:c r="B131" s="53"/>
      <x:c r="C131" s="53"/>
      <x:c r="D131" s="53"/>
      <x:c r="E131" s="58"/>
      <x:c r="F131" s="58"/>
      <x:c r="G131" s="59"/>
      <x:c r="H131" s="59" t="n">
        <x:f>SUMIF(Purchases!$D:$D,B131,Purchases!$F:$F)</x:f>
        <x:v>0</x:v>
      </x:c>
      <x:c r="I131" s="59" t="n">
        <x:f>SUMIF(Sales!$D:$D,B131,Sales!$G:$G)</x:f>
        <x:v>0</x:v>
      </x:c>
      <x:c r="J131" s="59" t="n">
        <x:f>G131+H131-I131</x:f>
        <x:v>0</x:v>
      </x:c>
      <x:c r="K131" s="58" t="n">
        <x:f>J131*E131</x:f>
        <x:v>0</x:v>
      </x:c>
      <x:c r="L131" s="59"/>
      <x:c r="M131" s="53"/>
      <x:c r="N131" s="60" t="n">
        <x:f>IFERROR(MAXIFS(Purchases!$B:$B,Purchases!$D:$D,B131),"")</x:f>
        <x:v>0</x:v>
      </x:c>
      <x:c r="O131" s="50"/>
    </x:row>
    <x:row r="132">
      <x:c r="A132" s="53"/>
      <x:c r="B132" s="53"/>
      <x:c r="C132" s="53"/>
      <x:c r="D132" s="53"/>
      <x:c r="E132" s="58"/>
      <x:c r="F132" s="58"/>
      <x:c r="G132" s="59"/>
      <x:c r="H132" s="59" t="n">
        <x:f>SUMIF(Purchases!$D:$D,B132,Purchases!$F:$F)</x:f>
        <x:v>0</x:v>
      </x:c>
      <x:c r="I132" s="59" t="n">
        <x:f>SUMIF(Sales!$D:$D,B132,Sales!$G:$G)</x:f>
        <x:v>0</x:v>
      </x:c>
      <x:c r="J132" s="59" t="n">
        <x:f>G132+H132-I132</x:f>
        <x:v>0</x:v>
      </x:c>
      <x:c r="K132" s="58" t="n">
        <x:f>J132*E132</x:f>
        <x:v>0</x:v>
      </x:c>
      <x:c r="L132" s="59"/>
      <x:c r="M132" s="53"/>
      <x:c r="N132" s="60" t="n">
        <x:f>IFERROR(MAXIFS(Purchases!$B:$B,Purchases!$D:$D,B132),"")</x:f>
        <x:v>0</x:v>
      </x:c>
      <x:c r="O132" s="50"/>
    </x:row>
    <x:row r="133">
      <x:c r="A133" s="53"/>
      <x:c r="B133" s="53"/>
      <x:c r="C133" s="53"/>
      <x:c r="D133" s="53"/>
      <x:c r="E133" s="58"/>
      <x:c r="F133" s="58"/>
      <x:c r="G133" s="59"/>
      <x:c r="H133" s="59" t="n">
        <x:f>SUMIF(Purchases!$D:$D,B133,Purchases!$F:$F)</x:f>
        <x:v>0</x:v>
      </x:c>
      <x:c r="I133" s="59" t="n">
        <x:f>SUMIF(Sales!$D:$D,B133,Sales!$G:$G)</x:f>
        <x:v>0</x:v>
      </x:c>
      <x:c r="J133" s="59" t="n">
        <x:f>G133+H133-I133</x:f>
        <x:v>0</x:v>
      </x:c>
      <x:c r="K133" s="58" t="n">
        <x:f>J133*E133</x:f>
        <x:v>0</x:v>
      </x:c>
      <x:c r="L133" s="59"/>
      <x:c r="M133" s="53"/>
      <x:c r="N133" s="60" t="n">
        <x:f>IFERROR(MAXIFS(Purchases!$B:$B,Purchases!$D:$D,B133),"")</x:f>
        <x:v>0</x:v>
      </x:c>
      <x:c r="O133" s="50"/>
    </x:row>
    <x:row r="134">
      <x:c r="A134" s="53"/>
      <x:c r="B134" s="53"/>
      <x:c r="C134" s="53"/>
      <x:c r="D134" s="53"/>
      <x:c r="E134" s="58"/>
      <x:c r="F134" s="58"/>
      <x:c r="G134" s="59"/>
      <x:c r="H134" s="59" t="n">
        <x:f>SUMIF(Purchases!$D:$D,B134,Purchases!$F:$F)</x:f>
        <x:v>0</x:v>
      </x:c>
      <x:c r="I134" s="59" t="n">
        <x:f>SUMIF(Sales!$D:$D,B134,Sales!$G:$G)</x:f>
        <x:v>0</x:v>
      </x:c>
      <x:c r="J134" s="59" t="n">
        <x:f>G134+H134-I134</x:f>
        <x:v>0</x:v>
      </x:c>
      <x:c r="K134" s="58" t="n">
        <x:f>J134*E134</x:f>
        <x:v>0</x:v>
      </x:c>
      <x:c r="L134" s="59"/>
      <x:c r="M134" s="53"/>
      <x:c r="N134" s="60" t="n">
        <x:f>IFERROR(MAXIFS(Purchases!$B:$B,Purchases!$D:$D,B134),"")</x:f>
        <x:v>0</x:v>
      </x:c>
      <x:c r="O134" s="50"/>
    </x:row>
    <x:row r="135">
      <x:c r="A135" s="53"/>
      <x:c r="B135" s="53"/>
      <x:c r="C135" s="53"/>
      <x:c r="D135" s="53"/>
      <x:c r="E135" s="58"/>
      <x:c r="F135" s="58"/>
      <x:c r="G135" s="59"/>
      <x:c r="H135" s="59" t="n">
        <x:f>SUMIF(Purchases!$D:$D,B135,Purchases!$F:$F)</x:f>
        <x:v>0</x:v>
      </x:c>
      <x:c r="I135" s="59" t="n">
        <x:f>SUMIF(Sales!$D:$D,B135,Sales!$G:$G)</x:f>
        <x:v>0</x:v>
      </x:c>
      <x:c r="J135" s="59" t="n">
        <x:f>G135+H135-I135</x:f>
        <x:v>0</x:v>
      </x:c>
      <x:c r="K135" s="58" t="n">
        <x:f>J135*E135</x:f>
        <x:v>0</x:v>
      </x:c>
      <x:c r="L135" s="59"/>
      <x:c r="M135" s="53"/>
      <x:c r="N135" s="60" t="n">
        <x:f>IFERROR(MAXIFS(Purchases!$B:$B,Purchases!$D:$D,B135),"")</x:f>
        <x:v>0</x:v>
      </x:c>
      <x:c r="O135" s="50"/>
    </x:row>
    <x:row r="136">
      <x:c r="A136" s="53"/>
      <x:c r="B136" s="53"/>
      <x:c r="C136" s="53"/>
      <x:c r="D136" s="53"/>
      <x:c r="E136" s="58"/>
      <x:c r="F136" s="58"/>
      <x:c r="G136" s="59"/>
      <x:c r="H136" s="59" t="n">
        <x:f>SUMIF(Purchases!$D:$D,B136,Purchases!$F:$F)</x:f>
        <x:v>0</x:v>
      </x:c>
      <x:c r="I136" s="59" t="n">
        <x:f>SUMIF(Sales!$D:$D,B136,Sales!$G:$G)</x:f>
        <x:v>0</x:v>
      </x:c>
      <x:c r="J136" s="59" t="n">
        <x:f>G136+H136-I136</x:f>
        <x:v>0</x:v>
      </x:c>
      <x:c r="K136" s="58" t="n">
        <x:f>J136*E136</x:f>
        <x:v>0</x:v>
      </x:c>
      <x:c r="L136" s="59"/>
      <x:c r="M136" s="53"/>
      <x:c r="N136" s="60" t="n">
        <x:f>IFERROR(MAXIFS(Purchases!$B:$B,Purchases!$D:$D,B136),"")</x:f>
        <x:v>0</x:v>
      </x:c>
      <x:c r="O136" s="50"/>
    </x:row>
    <x:row r="137">
      <x:c r="A137" s="53"/>
      <x:c r="B137" s="53"/>
      <x:c r="C137" s="53"/>
      <x:c r="D137" s="53"/>
      <x:c r="E137" s="58"/>
      <x:c r="F137" s="58"/>
      <x:c r="G137" s="59"/>
      <x:c r="H137" s="59" t="n">
        <x:f>SUMIF(Purchases!$D:$D,B137,Purchases!$F:$F)</x:f>
        <x:v>0</x:v>
      </x:c>
      <x:c r="I137" s="59" t="n">
        <x:f>SUMIF(Sales!$D:$D,B137,Sales!$G:$G)</x:f>
        <x:v>0</x:v>
      </x:c>
      <x:c r="J137" s="59" t="n">
        <x:f>G137+H137-I137</x:f>
        <x:v>0</x:v>
      </x:c>
      <x:c r="K137" s="58" t="n">
        <x:f>J137*E137</x:f>
        <x:v>0</x:v>
      </x:c>
      <x:c r="L137" s="59"/>
      <x:c r="M137" s="53"/>
      <x:c r="N137" s="60" t="n">
        <x:f>IFERROR(MAXIFS(Purchases!$B:$B,Purchases!$D:$D,B137),"")</x:f>
        <x:v>0</x:v>
      </x:c>
      <x:c r="O137" s="50"/>
    </x:row>
    <x:row r="138">
      <x:c r="A138" s="53"/>
      <x:c r="B138" s="53"/>
      <x:c r="C138" s="53"/>
      <x:c r="D138" s="53"/>
      <x:c r="E138" s="58"/>
      <x:c r="F138" s="58"/>
      <x:c r="G138" s="59"/>
      <x:c r="H138" s="59" t="n">
        <x:f>SUMIF(Purchases!$D:$D,B138,Purchases!$F:$F)</x:f>
        <x:v>0</x:v>
      </x:c>
      <x:c r="I138" s="59" t="n">
        <x:f>SUMIF(Sales!$D:$D,B138,Sales!$G:$G)</x:f>
        <x:v>0</x:v>
      </x:c>
      <x:c r="J138" s="59" t="n">
        <x:f>G138+H138-I138</x:f>
        <x:v>0</x:v>
      </x:c>
      <x:c r="K138" s="58" t="n">
        <x:f>J138*E138</x:f>
        <x:v>0</x:v>
      </x:c>
      <x:c r="L138" s="59"/>
      <x:c r="M138" s="53"/>
      <x:c r="N138" s="60" t="n">
        <x:f>IFERROR(MAXIFS(Purchases!$B:$B,Purchases!$D:$D,B138),"")</x:f>
        <x:v>0</x:v>
      </x:c>
      <x:c r="O138" s="50"/>
    </x:row>
    <x:row r="139">
      <x:c r="A139" s="53"/>
      <x:c r="B139" s="53"/>
      <x:c r="C139" s="53"/>
      <x:c r="D139" s="53"/>
      <x:c r="E139" s="58"/>
      <x:c r="F139" s="58"/>
      <x:c r="G139" s="59"/>
      <x:c r="H139" s="59" t="n">
        <x:f>SUMIF(Purchases!$D:$D,B139,Purchases!$F:$F)</x:f>
        <x:v>0</x:v>
      </x:c>
      <x:c r="I139" s="59" t="n">
        <x:f>SUMIF(Sales!$D:$D,B139,Sales!$G:$G)</x:f>
        <x:v>0</x:v>
      </x:c>
      <x:c r="J139" s="59" t="n">
        <x:f>G139+H139-I139</x:f>
        <x:v>0</x:v>
      </x:c>
      <x:c r="K139" s="58" t="n">
        <x:f>J139*E139</x:f>
        <x:v>0</x:v>
      </x:c>
      <x:c r="L139" s="59"/>
      <x:c r="M139" s="53"/>
      <x:c r="N139" s="60" t="n">
        <x:f>IFERROR(MAXIFS(Purchases!$B:$B,Purchases!$D:$D,B139),"")</x:f>
        <x:v>0</x:v>
      </x:c>
      <x:c r="O139" s="50"/>
    </x:row>
    <x:row r="140">
      <x:c r="A140" s="53"/>
      <x:c r="B140" s="53"/>
      <x:c r="C140" s="53"/>
      <x:c r="D140" s="53"/>
      <x:c r="E140" s="58"/>
      <x:c r="F140" s="58"/>
      <x:c r="G140" s="59"/>
      <x:c r="H140" s="59" t="n">
        <x:f>SUMIF(Purchases!$D:$D,B140,Purchases!$F:$F)</x:f>
        <x:v>0</x:v>
      </x:c>
      <x:c r="I140" s="59" t="n">
        <x:f>SUMIF(Sales!$D:$D,B140,Sales!$G:$G)</x:f>
        <x:v>0</x:v>
      </x:c>
      <x:c r="J140" s="59" t="n">
        <x:f>G140+H140-I140</x:f>
        <x:v>0</x:v>
      </x:c>
      <x:c r="K140" s="58" t="n">
        <x:f>J140*E140</x:f>
        <x:v>0</x:v>
      </x:c>
      <x:c r="L140" s="59"/>
      <x:c r="M140" s="53"/>
      <x:c r="N140" s="60" t="n">
        <x:f>IFERROR(MAXIFS(Purchases!$B:$B,Purchases!$D:$D,B140),"")</x:f>
        <x:v>0</x:v>
      </x:c>
      <x:c r="O140" s="50"/>
    </x:row>
    <x:row r="141">
      <x:c r="A141" s="53"/>
      <x:c r="B141" s="53"/>
      <x:c r="C141" s="53"/>
      <x:c r="D141" s="53"/>
      <x:c r="E141" s="58"/>
      <x:c r="F141" s="58"/>
      <x:c r="G141" s="59"/>
      <x:c r="H141" s="59" t="n">
        <x:f>SUMIF(Purchases!$D:$D,B141,Purchases!$F:$F)</x:f>
        <x:v>0</x:v>
      </x:c>
      <x:c r="I141" s="59" t="n">
        <x:f>SUMIF(Sales!$D:$D,B141,Sales!$G:$G)</x:f>
        <x:v>0</x:v>
      </x:c>
      <x:c r="J141" s="59" t="n">
        <x:f>G141+H141-I141</x:f>
        <x:v>0</x:v>
      </x:c>
      <x:c r="K141" s="58" t="n">
        <x:f>J141*E141</x:f>
        <x:v>0</x:v>
      </x:c>
      <x:c r="L141" s="59"/>
      <x:c r="M141" s="53"/>
      <x:c r="N141" s="60" t="n">
        <x:f>IFERROR(MAXIFS(Purchases!$B:$B,Purchases!$D:$D,B141),"")</x:f>
        <x:v>0</x:v>
      </x:c>
      <x:c r="O141" s="50"/>
    </x:row>
    <x:row r="142">
      <x:c r="A142" s="53"/>
      <x:c r="B142" s="53"/>
      <x:c r="C142" s="53"/>
      <x:c r="D142" s="53"/>
      <x:c r="E142" s="58"/>
      <x:c r="F142" s="58"/>
      <x:c r="G142" s="59"/>
      <x:c r="H142" s="59" t="n">
        <x:f>SUMIF(Purchases!$D:$D,B142,Purchases!$F:$F)</x:f>
        <x:v>0</x:v>
      </x:c>
      <x:c r="I142" s="59" t="n">
        <x:f>SUMIF(Sales!$D:$D,B142,Sales!$G:$G)</x:f>
        <x:v>0</x:v>
      </x:c>
      <x:c r="J142" s="59" t="n">
        <x:f>G142+H142-I142</x:f>
        <x:v>0</x:v>
      </x:c>
      <x:c r="K142" s="58" t="n">
        <x:f>J142*E142</x:f>
        <x:v>0</x:v>
      </x:c>
      <x:c r="L142" s="59"/>
      <x:c r="M142" s="53"/>
      <x:c r="N142" s="60" t="n">
        <x:f>IFERROR(MAXIFS(Purchases!$B:$B,Purchases!$D:$D,B142),"")</x:f>
        <x:v>0</x:v>
      </x:c>
      <x:c r="O142" s="50"/>
    </x:row>
    <x:row r="143">
      <x:c r="A143" s="53"/>
      <x:c r="B143" s="53"/>
      <x:c r="C143" s="53"/>
      <x:c r="D143" s="53"/>
      <x:c r="E143" s="58"/>
      <x:c r="F143" s="58"/>
      <x:c r="G143" s="59"/>
      <x:c r="H143" s="59" t="n">
        <x:f>SUMIF(Purchases!$D:$D,B143,Purchases!$F:$F)</x:f>
        <x:v>0</x:v>
      </x:c>
      <x:c r="I143" s="59" t="n">
        <x:f>SUMIF(Sales!$D:$D,B143,Sales!$G:$G)</x:f>
        <x:v>0</x:v>
      </x:c>
      <x:c r="J143" s="59" t="n">
        <x:f>G143+H143-I143</x:f>
        <x:v>0</x:v>
      </x:c>
      <x:c r="K143" s="58" t="n">
        <x:f>J143*E143</x:f>
        <x:v>0</x:v>
      </x:c>
      <x:c r="L143" s="59"/>
      <x:c r="M143" s="53"/>
      <x:c r="N143" s="60" t="n">
        <x:f>IFERROR(MAXIFS(Purchases!$B:$B,Purchases!$D:$D,B143),"")</x:f>
        <x:v>0</x:v>
      </x:c>
      <x:c r="O143" s="50"/>
    </x:row>
    <x:row r="144">
      <x:c r="A144" s="53"/>
      <x:c r="B144" s="53"/>
      <x:c r="C144" s="53"/>
      <x:c r="D144" s="53"/>
      <x:c r="E144" s="58"/>
      <x:c r="F144" s="58"/>
      <x:c r="G144" s="59"/>
      <x:c r="H144" s="59" t="n">
        <x:f>SUMIF(Purchases!$D:$D,B144,Purchases!$F:$F)</x:f>
        <x:v>0</x:v>
      </x:c>
      <x:c r="I144" s="59" t="n">
        <x:f>SUMIF(Sales!$D:$D,B144,Sales!$G:$G)</x:f>
        <x:v>0</x:v>
      </x:c>
      <x:c r="J144" s="59" t="n">
        <x:f>G144+H144-I144</x:f>
        <x:v>0</x:v>
      </x:c>
      <x:c r="K144" s="58" t="n">
        <x:f>J144*E144</x:f>
        <x:v>0</x:v>
      </x:c>
      <x:c r="L144" s="59"/>
      <x:c r="M144" s="53"/>
      <x:c r="N144" s="60" t="n">
        <x:f>IFERROR(MAXIFS(Purchases!$B:$B,Purchases!$D:$D,B144),"")</x:f>
        <x:v>0</x:v>
      </x:c>
      <x:c r="O144" s="50"/>
    </x:row>
    <x:row r="145">
      <x:c r="A145" s="53"/>
      <x:c r="B145" s="53"/>
      <x:c r="C145" s="53"/>
      <x:c r="D145" s="53"/>
      <x:c r="E145" s="58"/>
      <x:c r="F145" s="58"/>
      <x:c r="G145" s="59"/>
      <x:c r="H145" s="59" t="n">
        <x:f>SUMIF(Purchases!$D:$D,B145,Purchases!$F:$F)</x:f>
        <x:v>0</x:v>
      </x:c>
      <x:c r="I145" s="59" t="n">
        <x:f>SUMIF(Sales!$D:$D,B145,Sales!$G:$G)</x:f>
        <x:v>0</x:v>
      </x:c>
      <x:c r="J145" s="59" t="n">
        <x:f>G145+H145-I145</x:f>
        <x:v>0</x:v>
      </x:c>
      <x:c r="K145" s="58" t="n">
        <x:f>J145*E145</x:f>
        <x:v>0</x:v>
      </x:c>
      <x:c r="L145" s="59"/>
      <x:c r="M145" s="53"/>
      <x:c r="N145" s="60" t="n">
        <x:f>IFERROR(MAXIFS(Purchases!$B:$B,Purchases!$D:$D,B145),"")</x:f>
        <x:v>0</x:v>
      </x:c>
      <x:c r="O145" s="50"/>
    </x:row>
    <x:row r="146">
      <x:c r="A146" s="53"/>
      <x:c r="B146" s="53"/>
      <x:c r="C146" s="53"/>
      <x:c r="D146" s="53"/>
      <x:c r="E146" s="58"/>
      <x:c r="F146" s="58"/>
      <x:c r="G146" s="59"/>
      <x:c r="H146" s="59" t="n">
        <x:f>SUMIF(Purchases!$D:$D,B146,Purchases!$F:$F)</x:f>
        <x:v>0</x:v>
      </x:c>
      <x:c r="I146" s="59" t="n">
        <x:f>SUMIF(Sales!$D:$D,B146,Sales!$G:$G)</x:f>
        <x:v>0</x:v>
      </x:c>
      <x:c r="J146" s="59" t="n">
        <x:f>G146+H146-I146</x:f>
        <x:v>0</x:v>
      </x:c>
      <x:c r="K146" s="58" t="n">
        <x:f>J146*E146</x:f>
        <x:v>0</x:v>
      </x:c>
      <x:c r="L146" s="59"/>
      <x:c r="M146" s="53"/>
      <x:c r="N146" s="60" t="n">
        <x:f>IFERROR(MAXIFS(Purchases!$B:$B,Purchases!$D:$D,B146),"")</x:f>
        <x:v>0</x:v>
      </x:c>
      <x:c r="O146" s="50"/>
    </x:row>
    <x:row r="147">
      <x:c r="A147" s="53"/>
      <x:c r="B147" s="53"/>
      <x:c r="C147" s="53"/>
      <x:c r="D147" s="53"/>
      <x:c r="E147" s="58"/>
      <x:c r="F147" s="58"/>
      <x:c r="G147" s="59"/>
      <x:c r="H147" s="59" t="n">
        <x:f>SUMIF(Purchases!$D:$D,B147,Purchases!$F:$F)</x:f>
        <x:v>0</x:v>
      </x:c>
      <x:c r="I147" s="59" t="n">
        <x:f>SUMIF(Sales!$D:$D,B147,Sales!$G:$G)</x:f>
        <x:v>0</x:v>
      </x:c>
      <x:c r="J147" s="59" t="n">
        <x:f>G147+H147-I147</x:f>
        <x:v>0</x:v>
      </x:c>
      <x:c r="K147" s="58" t="n">
        <x:f>J147*E147</x:f>
        <x:v>0</x:v>
      </x:c>
      <x:c r="L147" s="59"/>
      <x:c r="M147" s="53"/>
      <x:c r="N147" s="60" t="n">
        <x:f>IFERROR(MAXIFS(Purchases!$B:$B,Purchases!$D:$D,B147),"")</x:f>
        <x:v>0</x:v>
      </x:c>
      <x:c r="O147" s="50"/>
    </x:row>
    <x:row r="148">
      <x:c r="A148" s="53"/>
      <x:c r="B148" s="53"/>
      <x:c r="C148" s="53"/>
      <x:c r="D148" s="53"/>
      <x:c r="E148" s="58"/>
      <x:c r="F148" s="58"/>
      <x:c r="G148" s="59"/>
      <x:c r="H148" s="59" t="n">
        <x:f>SUMIF(Purchases!$D:$D,B148,Purchases!$F:$F)</x:f>
        <x:v>0</x:v>
      </x:c>
      <x:c r="I148" s="59" t="n">
        <x:f>SUMIF(Sales!$D:$D,B148,Sales!$G:$G)</x:f>
        <x:v>0</x:v>
      </x:c>
      <x:c r="J148" s="59" t="n">
        <x:f>G148+H148-I148</x:f>
        <x:v>0</x:v>
      </x:c>
      <x:c r="K148" s="58" t="n">
        <x:f>J148*E148</x:f>
        <x:v>0</x:v>
      </x:c>
      <x:c r="L148" s="59"/>
      <x:c r="M148" s="53"/>
      <x:c r="N148" s="60" t="n">
        <x:f>IFERROR(MAXIFS(Purchases!$B:$B,Purchases!$D:$D,B148),"")</x:f>
        <x:v>0</x:v>
      </x:c>
      <x:c r="O148" s="50"/>
    </x:row>
    <x:row r="149">
      <x:c r="A149" s="53"/>
      <x:c r="B149" s="53"/>
      <x:c r="C149" s="53"/>
      <x:c r="D149" s="53"/>
      <x:c r="E149" s="58"/>
      <x:c r="F149" s="58"/>
      <x:c r="G149" s="59"/>
      <x:c r="H149" s="59" t="n">
        <x:f>SUMIF(Purchases!$D:$D,B149,Purchases!$F:$F)</x:f>
        <x:v>0</x:v>
      </x:c>
      <x:c r="I149" s="59" t="n">
        <x:f>SUMIF(Sales!$D:$D,B149,Sales!$G:$G)</x:f>
        <x:v>0</x:v>
      </x:c>
      <x:c r="J149" s="59" t="n">
        <x:f>G149+H149-I149</x:f>
        <x:v>0</x:v>
      </x:c>
      <x:c r="K149" s="58" t="n">
        <x:f>J149*E149</x:f>
        <x:v>0</x:v>
      </x:c>
      <x:c r="L149" s="59"/>
      <x:c r="M149" s="53"/>
      <x:c r="N149" s="60" t="n">
        <x:f>IFERROR(MAXIFS(Purchases!$B:$B,Purchases!$D:$D,B149),"")</x:f>
        <x:v>0</x:v>
      </x:c>
      <x:c r="O149" s="50"/>
    </x:row>
    <x:row r="150">
      <x:c r="A150" s="53"/>
      <x:c r="B150" s="53"/>
      <x:c r="C150" s="53"/>
      <x:c r="D150" s="53"/>
      <x:c r="E150" s="58"/>
      <x:c r="F150" s="58"/>
      <x:c r="G150" s="59"/>
      <x:c r="H150" s="59" t="n">
        <x:f>SUMIF(Purchases!$D:$D,B150,Purchases!$F:$F)</x:f>
        <x:v>0</x:v>
      </x:c>
      <x:c r="I150" s="59" t="n">
        <x:f>SUMIF(Sales!$D:$D,B150,Sales!$G:$G)</x:f>
        <x:v>0</x:v>
      </x:c>
      <x:c r="J150" s="59" t="n">
        <x:f>G150+H150-I150</x:f>
        <x:v>0</x:v>
      </x:c>
      <x:c r="K150" s="58" t="n">
        <x:f>J150*E150</x:f>
        <x:v>0</x:v>
      </x:c>
      <x:c r="L150" s="59"/>
      <x:c r="M150" s="53"/>
      <x:c r="N150" s="60" t="n">
        <x:f>IFERROR(MAXIFS(Purchases!$B:$B,Purchases!$D:$D,B150),"")</x:f>
        <x:v>0</x:v>
      </x:c>
      <x:c r="O150" s="50"/>
    </x:row>
    <x:row r="151">
      <x:c r="A151" s="53"/>
      <x:c r="B151" s="53"/>
      <x:c r="C151" s="53"/>
      <x:c r="D151" s="53"/>
      <x:c r="E151" s="58"/>
      <x:c r="F151" s="58"/>
      <x:c r="G151" s="59"/>
      <x:c r="H151" s="59" t="n">
        <x:f>SUMIF(Purchases!$D:$D,B151,Purchases!$F:$F)</x:f>
        <x:v>0</x:v>
      </x:c>
      <x:c r="I151" s="59" t="n">
        <x:f>SUMIF(Sales!$D:$D,B151,Sales!$G:$G)</x:f>
        <x:v>0</x:v>
      </x:c>
      <x:c r="J151" s="59" t="n">
        <x:f>G151+H151-I151</x:f>
        <x:v>0</x:v>
      </x:c>
      <x:c r="K151" s="58" t="n">
        <x:f>J151*E151</x:f>
        <x:v>0</x:v>
      </x:c>
      <x:c r="L151" s="59"/>
      <x:c r="M151" s="53"/>
      <x:c r="N151" s="60" t="n">
        <x:f>IFERROR(MAXIFS(Purchases!$B:$B,Purchases!$D:$D,B151),"")</x:f>
        <x:v>0</x:v>
      </x:c>
      <x:c r="O151" s="50"/>
    </x:row>
    <x:row r="152">
      <x:c r="A152" s="53"/>
      <x:c r="B152" s="53"/>
      <x:c r="C152" s="53"/>
      <x:c r="D152" s="53"/>
      <x:c r="E152" s="58"/>
      <x:c r="F152" s="58"/>
      <x:c r="G152" s="59"/>
      <x:c r="H152" s="59" t="n">
        <x:f>SUMIF(Purchases!$D:$D,B152,Purchases!$F:$F)</x:f>
        <x:v>0</x:v>
      </x:c>
      <x:c r="I152" s="59" t="n">
        <x:f>SUMIF(Sales!$D:$D,B152,Sales!$G:$G)</x:f>
        <x:v>0</x:v>
      </x:c>
      <x:c r="J152" s="59" t="n">
        <x:f>G152+H152-I152</x:f>
        <x:v>0</x:v>
      </x:c>
      <x:c r="K152" s="58" t="n">
        <x:f>J152*E152</x:f>
        <x:v>0</x:v>
      </x:c>
      <x:c r="L152" s="59"/>
      <x:c r="M152" s="53"/>
      <x:c r="N152" s="60" t="n">
        <x:f>IFERROR(MAXIFS(Purchases!$B:$B,Purchases!$D:$D,B152),"")</x:f>
        <x:v>0</x:v>
      </x:c>
      <x:c r="O152" s="50"/>
    </x:row>
    <x:row r="153">
      <x:c r="A153" s="53"/>
      <x:c r="B153" s="53"/>
      <x:c r="C153" s="53"/>
      <x:c r="D153" s="53"/>
      <x:c r="E153" s="58"/>
      <x:c r="F153" s="58"/>
      <x:c r="G153" s="59"/>
      <x:c r="H153" s="59" t="n">
        <x:f>SUMIF(Purchases!$D:$D,B153,Purchases!$F:$F)</x:f>
        <x:v>0</x:v>
      </x:c>
      <x:c r="I153" s="59" t="n">
        <x:f>SUMIF(Sales!$D:$D,B153,Sales!$G:$G)</x:f>
        <x:v>0</x:v>
      </x:c>
      <x:c r="J153" s="59" t="n">
        <x:f>G153+H153-I153</x:f>
        <x:v>0</x:v>
      </x:c>
      <x:c r="K153" s="58" t="n">
        <x:f>J153*E153</x:f>
        <x:v>0</x:v>
      </x:c>
      <x:c r="L153" s="59"/>
      <x:c r="M153" s="53"/>
      <x:c r="N153" s="60" t="n">
        <x:f>IFERROR(MAXIFS(Purchases!$B:$B,Purchases!$D:$D,B153),"")</x:f>
        <x:v>0</x:v>
      </x:c>
      <x:c r="O153" s="50"/>
    </x:row>
    <x:row r="154">
      <x:c r="A154" s="53"/>
      <x:c r="B154" s="53"/>
      <x:c r="C154" s="53"/>
      <x:c r="D154" s="53"/>
      <x:c r="E154" s="58"/>
      <x:c r="F154" s="58"/>
      <x:c r="G154" s="59"/>
      <x:c r="H154" s="59" t="n">
        <x:f>SUMIF(Purchases!$D:$D,B154,Purchases!$F:$F)</x:f>
        <x:v>0</x:v>
      </x:c>
      <x:c r="I154" s="59" t="n">
        <x:f>SUMIF(Sales!$D:$D,B154,Sales!$G:$G)</x:f>
        <x:v>0</x:v>
      </x:c>
      <x:c r="J154" s="59" t="n">
        <x:f>G154+H154-I154</x:f>
        <x:v>0</x:v>
      </x:c>
      <x:c r="K154" s="58" t="n">
        <x:f>J154*E154</x:f>
        <x:v>0</x:v>
      </x:c>
      <x:c r="L154" s="59"/>
      <x:c r="M154" s="53"/>
      <x:c r="N154" s="60" t="n">
        <x:f>IFERROR(MAXIFS(Purchases!$B:$B,Purchases!$D:$D,B154),"")</x:f>
        <x:v>0</x:v>
      </x:c>
      <x:c r="O154" s="50"/>
    </x:row>
    <x:row r="155">
      <x:c r="A155" s="53"/>
      <x:c r="B155" s="53"/>
      <x:c r="C155" s="53"/>
      <x:c r="D155" s="53"/>
      <x:c r="E155" s="58"/>
      <x:c r="F155" s="58"/>
      <x:c r="G155" s="59"/>
      <x:c r="H155" s="59" t="n">
        <x:f>SUMIF(Purchases!$D:$D,B155,Purchases!$F:$F)</x:f>
        <x:v>0</x:v>
      </x:c>
      <x:c r="I155" s="59" t="n">
        <x:f>SUMIF(Sales!$D:$D,B155,Sales!$G:$G)</x:f>
        <x:v>0</x:v>
      </x:c>
      <x:c r="J155" s="59" t="n">
        <x:f>G155+H155-I155</x:f>
        <x:v>0</x:v>
      </x:c>
      <x:c r="K155" s="58" t="n">
        <x:f>J155*E155</x:f>
        <x:v>0</x:v>
      </x:c>
      <x:c r="L155" s="59"/>
      <x:c r="M155" s="53"/>
      <x:c r="N155" s="60" t="n">
        <x:f>IFERROR(MAXIFS(Purchases!$B:$B,Purchases!$D:$D,B155),"")</x:f>
        <x:v>0</x:v>
      </x:c>
      <x:c r="O155" s="50"/>
    </x:row>
    <x:row r="156">
      <x:c r="A156" s="53"/>
      <x:c r="B156" s="53"/>
      <x:c r="C156" s="53"/>
      <x:c r="D156" s="53"/>
      <x:c r="E156" s="58"/>
      <x:c r="F156" s="58"/>
      <x:c r="G156" s="59"/>
      <x:c r="H156" s="59" t="n">
        <x:f>SUMIF(Purchases!$D:$D,B156,Purchases!$F:$F)</x:f>
        <x:v>0</x:v>
      </x:c>
      <x:c r="I156" s="59" t="n">
        <x:f>SUMIF(Sales!$D:$D,B156,Sales!$G:$G)</x:f>
        <x:v>0</x:v>
      </x:c>
      <x:c r="J156" s="59" t="n">
        <x:f>G156+H156-I156</x:f>
        <x:v>0</x:v>
      </x:c>
      <x:c r="K156" s="58" t="n">
        <x:f>J156*E156</x:f>
        <x:v>0</x:v>
      </x:c>
      <x:c r="L156" s="59"/>
      <x:c r="M156" s="53"/>
      <x:c r="N156" s="60" t="n">
        <x:f>IFERROR(MAXIFS(Purchases!$B:$B,Purchases!$D:$D,B156),"")</x:f>
        <x:v>0</x:v>
      </x:c>
      <x:c r="O156" s="50"/>
    </x:row>
    <x:row r="157">
      <x:c r="A157" s="53"/>
      <x:c r="B157" s="53"/>
      <x:c r="C157" s="53"/>
      <x:c r="D157" s="53"/>
      <x:c r="E157" s="58"/>
      <x:c r="F157" s="58"/>
      <x:c r="G157" s="59"/>
      <x:c r="H157" s="59" t="n">
        <x:f>SUMIF(Purchases!$D:$D,B157,Purchases!$F:$F)</x:f>
        <x:v>0</x:v>
      </x:c>
      <x:c r="I157" s="59" t="n">
        <x:f>SUMIF(Sales!$D:$D,B157,Sales!$G:$G)</x:f>
        <x:v>0</x:v>
      </x:c>
      <x:c r="J157" s="59" t="n">
        <x:f>G157+H157-I157</x:f>
        <x:v>0</x:v>
      </x:c>
      <x:c r="K157" s="58" t="n">
        <x:f>J157*E157</x:f>
        <x:v>0</x:v>
      </x:c>
      <x:c r="L157" s="59"/>
      <x:c r="M157" s="53"/>
      <x:c r="N157" s="60" t="n">
        <x:f>IFERROR(MAXIFS(Purchases!$B:$B,Purchases!$D:$D,B157),"")</x:f>
        <x:v>0</x:v>
      </x:c>
      <x:c r="O157" s="50"/>
    </x:row>
    <x:row r="158">
      <x:c r="A158" s="53"/>
      <x:c r="B158" s="53"/>
      <x:c r="C158" s="53"/>
      <x:c r="D158" s="53"/>
      <x:c r="E158" s="58"/>
      <x:c r="F158" s="58"/>
      <x:c r="G158" s="59"/>
      <x:c r="H158" s="59" t="n">
        <x:f>SUMIF(Purchases!$D:$D,B158,Purchases!$F:$F)</x:f>
        <x:v>0</x:v>
      </x:c>
      <x:c r="I158" s="59" t="n">
        <x:f>SUMIF(Sales!$D:$D,B158,Sales!$G:$G)</x:f>
        <x:v>0</x:v>
      </x:c>
      <x:c r="J158" s="59" t="n">
        <x:f>G158+H158-I158</x:f>
        <x:v>0</x:v>
      </x:c>
      <x:c r="K158" s="58" t="n">
        <x:f>J158*E158</x:f>
        <x:v>0</x:v>
      </x:c>
      <x:c r="L158" s="59"/>
      <x:c r="M158" s="53"/>
      <x:c r="N158" s="60" t="n">
        <x:f>IFERROR(MAXIFS(Purchases!$B:$B,Purchases!$D:$D,B158),"")</x:f>
        <x:v>0</x:v>
      </x:c>
      <x:c r="O158" s="50"/>
    </x:row>
    <x:row r="159">
      <x:c r="A159" s="53"/>
      <x:c r="B159" s="53"/>
      <x:c r="C159" s="53"/>
      <x:c r="D159" s="53"/>
      <x:c r="E159" s="58"/>
      <x:c r="F159" s="58"/>
      <x:c r="G159" s="59"/>
      <x:c r="H159" s="59" t="n">
        <x:f>SUMIF(Purchases!$D:$D,B159,Purchases!$F:$F)</x:f>
        <x:v>0</x:v>
      </x:c>
      <x:c r="I159" s="59" t="n">
        <x:f>SUMIF(Sales!$D:$D,B159,Sales!$G:$G)</x:f>
        <x:v>0</x:v>
      </x:c>
      <x:c r="J159" s="59" t="n">
        <x:f>G159+H159-I159</x:f>
        <x:v>0</x:v>
      </x:c>
      <x:c r="K159" s="58" t="n">
        <x:f>J159*E159</x:f>
        <x:v>0</x:v>
      </x:c>
      <x:c r="L159" s="59"/>
      <x:c r="M159" s="53"/>
      <x:c r="N159" s="60" t="n">
        <x:f>IFERROR(MAXIFS(Purchases!$B:$B,Purchases!$D:$D,B159),"")</x:f>
        <x:v>0</x:v>
      </x:c>
      <x:c r="O159" s="50"/>
    </x:row>
    <x:row r="160">
      <x:c r="A160" s="53"/>
      <x:c r="B160" s="53"/>
      <x:c r="C160" s="53"/>
      <x:c r="D160" s="53"/>
      <x:c r="E160" s="58"/>
      <x:c r="F160" s="58"/>
      <x:c r="G160" s="59"/>
      <x:c r="H160" s="59" t="n">
        <x:f>SUMIF(Purchases!$D:$D,B160,Purchases!$F:$F)</x:f>
        <x:v>0</x:v>
      </x:c>
      <x:c r="I160" s="59" t="n">
        <x:f>SUMIF(Sales!$D:$D,B160,Sales!$G:$G)</x:f>
        <x:v>0</x:v>
      </x:c>
      <x:c r="J160" s="59" t="n">
        <x:f>G160+H160-I160</x:f>
        <x:v>0</x:v>
      </x:c>
      <x:c r="K160" s="58" t="n">
        <x:f>J160*E160</x:f>
        <x:v>0</x:v>
      </x:c>
      <x:c r="L160" s="59"/>
      <x:c r="M160" s="53"/>
      <x:c r="N160" s="60" t="n">
        <x:f>IFERROR(MAXIFS(Purchases!$B:$B,Purchases!$D:$D,B160),"")</x:f>
        <x:v>0</x:v>
      </x:c>
      <x:c r="O160" s="50"/>
    </x:row>
    <x:row r="161">
      <x:c r="A161" s="53"/>
      <x:c r="B161" s="53"/>
      <x:c r="C161" s="53"/>
      <x:c r="D161" s="53"/>
      <x:c r="E161" s="58"/>
      <x:c r="F161" s="58"/>
      <x:c r="G161" s="59"/>
      <x:c r="H161" s="59" t="n">
        <x:f>SUMIF(Purchases!$D:$D,B161,Purchases!$F:$F)</x:f>
        <x:v>0</x:v>
      </x:c>
      <x:c r="I161" s="59" t="n">
        <x:f>SUMIF(Sales!$D:$D,B161,Sales!$G:$G)</x:f>
        <x:v>0</x:v>
      </x:c>
      <x:c r="J161" s="59" t="n">
        <x:f>G161+H161-I161</x:f>
        <x:v>0</x:v>
      </x:c>
      <x:c r="K161" s="58" t="n">
        <x:f>J161*E161</x:f>
        <x:v>0</x:v>
      </x:c>
      <x:c r="L161" s="59"/>
      <x:c r="M161" s="53"/>
      <x:c r="N161" s="60" t="n">
        <x:f>IFERROR(MAXIFS(Purchases!$B:$B,Purchases!$D:$D,B161),"")</x:f>
        <x:v>0</x:v>
      </x:c>
      <x:c r="O161" s="50"/>
    </x:row>
    <x:row r="162">
      <x:c r="A162" s="53"/>
      <x:c r="B162" s="53"/>
      <x:c r="C162" s="53"/>
      <x:c r="D162" s="53"/>
      <x:c r="E162" s="58"/>
      <x:c r="F162" s="58"/>
      <x:c r="G162" s="59"/>
      <x:c r="H162" s="59" t="n">
        <x:f>SUMIF(Purchases!$D:$D,B162,Purchases!$F:$F)</x:f>
        <x:v>0</x:v>
      </x:c>
      <x:c r="I162" s="59" t="n">
        <x:f>SUMIF(Sales!$D:$D,B162,Sales!$G:$G)</x:f>
        <x:v>0</x:v>
      </x:c>
      <x:c r="J162" s="59" t="n">
        <x:f>G162+H162-I162</x:f>
        <x:v>0</x:v>
      </x:c>
      <x:c r="K162" s="58" t="n">
        <x:f>J162*E162</x:f>
        <x:v>0</x:v>
      </x:c>
      <x:c r="L162" s="59"/>
      <x:c r="M162" s="53"/>
      <x:c r="N162" s="60" t="n">
        <x:f>IFERROR(MAXIFS(Purchases!$B:$B,Purchases!$D:$D,B162),"")</x:f>
        <x:v>0</x:v>
      </x:c>
      <x:c r="O162" s="50"/>
    </x:row>
    <x:row r="163">
      <x:c r="A163" s="53"/>
      <x:c r="B163" s="53"/>
      <x:c r="C163" s="53"/>
      <x:c r="D163" s="53"/>
      <x:c r="E163" s="58"/>
      <x:c r="F163" s="58"/>
      <x:c r="G163" s="59"/>
      <x:c r="H163" s="59" t="n">
        <x:f>SUMIF(Purchases!$D:$D,B163,Purchases!$F:$F)</x:f>
        <x:v>0</x:v>
      </x:c>
      <x:c r="I163" s="59" t="n">
        <x:f>SUMIF(Sales!$D:$D,B163,Sales!$G:$G)</x:f>
        <x:v>0</x:v>
      </x:c>
      <x:c r="J163" s="59" t="n">
        <x:f>G163+H163-I163</x:f>
        <x:v>0</x:v>
      </x:c>
      <x:c r="K163" s="58" t="n">
        <x:f>J163*E163</x:f>
        <x:v>0</x:v>
      </x:c>
      <x:c r="L163" s="59"/>
      <x:c r="M163" s="53"/>
      <x:c r="N163" s="60" t="n">
        <x:f>IFERROR(MAXIFS(Purchases!$B:$B,Purchases!$D:$D,B163),"")</x:f>
        <x:v>0</x:v>
      </x:c>
      <x:c r="O163" s="50"/>
    </x:row>
    <x:row r="164">
      <x:c r="A164" s="53"/>
      <x:c r="B164" s="53"/>
      <x:c r="C164" s="53"/>
      <x:c r="D164" s="53"/>
      <x:c r="E164" s="58"/>
      <x:c r="F164" s="58"/>
      <x:c r="G164" s="59"/>
      <x:c r="H164" s="59" t="n">
        <x:f>SUMIF(Purchases!$D:$D,B164,Purchases!$F:$F)</x:f>
        <x:v>0</x:v>
      </x:c>
      <x:c r="I164" s="59" t="n">
        <x:f>SUMIF(Sales!$D:$D,B164,Sales!$G:$G)</x:f>
        <x:v>0</x:v>
      </x:c>
      <x:c r="J164" s="59" t="n">
        <x:f>G164+H164-I164</x:f>
        <x:v>0</x:v>
      </x:c>
      <x:c r="K164" s="58" t="n">
        <x:f>J164*E164</x:f>
        <x:v>0</x:v>
      </x:c>
      <x:c r="L164" s="59"/>
      <x:c r="M164" s="53"/>
      <x:c r="N164" s="60" t="n">
        <x:f>IFERROR(MAXIFS(Purchases!$B:$B,Purchases!$D:$D,B164),"")</x:f>
        <x:v>0</x:v>
      </x:c>
      <x:c r="O164" s="50"/>
    </x:row>
    <x:row r="165">
      <x:c r="A165" s="53"/>
      <x:c r="B165" s="53"/>
      <x:c r="C165" s="53"/>
      <x:c r="D165" s="53"/>
      <x:c r="E165" s="58"/>
      <x:c r="F165" s="58"/>
      <x:c r="G165" s="59"/>
      <x:c r="H165" s="59" t="n">
        <x:f>SUMIF(Purchases!$D:$D,B165,Purchases!$F:$F)</x:f>
        <x:v>0</x:v>
      </x:c>
      <x:c r="I165" s="59" t="n">
        <x:f>SUMIF(Sales!$D:$D,B165,Sales!$G:$G)</x:f>
        <x:v>0</x:v>
      </x:c>
      <x:c r="J165" s="59" t="n">
        <x:f>G165+H165-I165</x:f>
        <x:v>0</x:v>
      </x:c>
      <x:c r="K165" s="58" t="n">
        <x:f>J165*E165</x:f>
        <x:v>0</x:v>
      </x:c>
      <x:c r="L165" s="59"/>
      <x:c r="M165" s="53"/>
      <x:c r="N165" s="60" t="n">
        <x:f>IFERROR(MAXIFS(Purchases!$B:$B,Purchases!$D:$D,B165),"")</x:f>
        <x:v>0</x:v>
      </x:c>
      <x:c r="O165" s="50"/>
    </x:row>
    <x:row r="166">
      <x:c r="A166" s="53"/>
      <x:c r="B166" s="53"/>
      <x:c r="C166" s="53"/>
      <x:c r="D166" s="53"/>
      <x:c r="E166" s="58"/>
      <x:c r="F166" s="58"/>
      <x:c r="G166" s="59"/>
      <x:c r="H166" s="59" t="n">
        <x:f>SUMIF(Purchases!$D:$D,B166,Purchases!$F:$F)</x:f>
        <x:v>0</x:v>
      </x:c>
      <x:c r="I166" s="59" t="n">
        <x:f>SUMIF(Sales!$D:$D,B166,Sales!$G:$G)</x:f>
        <x:v>0</x:v>
      </x:c>
      <x:c r="J166" s="59" t="n">
        <x:f>G166+H166-I166</x:f>
        <x:v>0</x:v>
      </x:c>
      <x:c r="K166" s="58" t="n">
        <x:f>J166*E166</x:f>
        <x:v>0</x:v>
      </x:c>
      <x:c r="L166" s="59"/>
      <x:c r="M166" s="53"/>
      <x:c r="N166" s="60" t="n">
        <x:f>IFERROR(MAXIFS(Purchases!$B:$B,Purchases!$D:$D,B166),"")</x:f>
        <x:v>0</x:v>
      </x:c>
      <x:c r="O166" s="50"/>
    </x:row>
    <x:row r="167">
      <x:c r="A167" s="53"/>
      <x:c r="B167" s="53"/>
      <x:c r="C167" s="53"/>
      <x:c r="D167" s="53"/>
      <x:c r="E167" s="58"/>
      <x:c r="F167" s="58"/>
      <x:c r="G167" s="59"/>
      <x:c r="H167" s="59" t="n">
        <x:f>SUMIF(Purchases!$D:$D,B167,Purchases!$F:$F)</x:f>
        <x:v>0</x:v>
      </x:c>
      <x:c r="I167" s="59" t="n">
        <x:f>SUMIF(Sales!$D:$D,B167,Sales!$G:$G)</x:f>
        <x:v>0</x:v>
      </x:c>
      <x:c r="J167" s="59" t="n">
        <x:f>G167+H167-I167</x:f>
        <x:v>0</x:v>
      </x:c>
      <x:c r="K167" s="58" t="n">
        <x:f>J167*E167</x:f>
        <x:v>0</x:v>
      </x:c>
      <x:c r="L167" s="59"/>
      <x:c r="M167" s="53"/>
      <x:c r="N167" s="60" t="n">
        <x:f>IFERROR(MAXIFS(Purchases!$B:$B,Purchases!$D:$D,B167),"")</x:f>
        <x:v>0</x:v>
      </x:c>
      <x:c r="O167" s="50"/>
    </x:row>
    <x:row r="168">
      <x:c r="A168" s="53"/>
      <x:c r="B168" s="53"/>
      <x:c r="C168" s="53"/>
      <x:c r="D168" s="53"/>
      <x:c r="E168" s="58"/>
      <x:c r="F168" s="58"/>
      <x:c r="G168" s="59"/>
      <x:c r="H168" s="59" t="n">
        <x:f>SUMIF(Purchases!$D:$D,B168,Purchases!$F:$F)</x:f>
        <x:v>0</x:v>
      </x:c>
      <x:c r="I168" s="59" t="n">
        <x:f>SUMIF(Sales!$D:$D,B168,Sales!$G:$G)</x:f>
        <x:v>0</x:v>
      </x:c>
      <x:c r="J168" s="59" t="n">
        <x:f>G168+H168-I168</x:f>
        <x:v>0</x:v>
      </x:c>
      <x:c r="K168" s="58" t="n">
        <x:f>J168*E168</x:f>
        <x:v>0</x:v>
      </x:c>
      <x:c r="L168" s="59"/>
      <x:c r="M168" s="53"/>
      <x:c r="N168" s="60" t="n">
        <x:f>IFERROR(MAXIFS(Purchases!$B:$B,Purchases!$D:$D,B168),"")</x:f>
        <x:v>0</x:v>
      </x:c>
      <x:c r="O168" s="50"/>
    </x:row>
    <x:row r="169">
      <x:c r="A169" s="53"/>
      <x:c r="B169" s="53"/>
      <x:c r="C169" s="53"/>
      <x:c r="D169" s="53"/>
      <x:c r="E169" s="58"/>
      <x:c r="F169" s="58"/>
      <x:c r="G169" s="59"/>
      <x:c r="H169" s="59" t="n">
        <x:f>SUMIF(Purchases!$D:$D,B169,Purchases!$F:$F)</x:f>
        <x:v>0</x:v>
      </x:c>
      <x:c r="I169" s="59" t="n">
        <x:f>SUMIF(Sales!$D:$D,B169,Sales!$G:$G)</x:f>
        <x:v>0</x:v>
      </x:c>
      <x:c r="J169" s="59" t="n">
        <x:f>G169+H169-I169</x:f>
        <x:v>0</x:v>
      </x:c>
      <x:c r="K169" s="58" t="n">
        <x:f>J169*E169</x:f>
        <x:v>0</x:v>
      </x:c>
      <x:c r="L169" s="59"/>
      <x:c r="M169" s="53"/>
      <x:c r="N169" s="60" t="n">
        <x:f>IFERROR(MAXIFS(Purchases!$B:$B,Purchases!$D:$D,B169),"")</x:f>
        <x:v>0</x:v>
      </x:c>
      <x:c r="O169" s="50"/>
    </x:row>
    <x:row r="170">
      <x:c r="A170" s="53"/>
      <x:c r="B170" s="53"/>
      <x:c r="C170" s="53"/>
      <x:c r="D170" s="53"/>
      <x:c r="E170" s="58"/>
      <x:c r="F170" s="58"/>
      <x:c r="G170" s="59"/>
      <x:c r="H170" s="59" t="n">
        <x:f>SUMIF(Purchases!$D:$D,B170,Purchases!$F:$F)</x:f>
        <x:v>0</x:v>
      </x:c>
      <x:c r="I170" s="59" t="n">
        <x:f>SUMIF(Sales!$D:$D,B170,Sales!$G:$G)</x:f>
        <x:v>0</x:v>
      </x:c>
      <x:c r="J170" s="59" t="n">
        <x:f>G170+H170-I170</x:f>
        <x:v>0</x:v>
      </x:c>
      <x:c r="K170" s="58" t="n">
        <x:f>J170*E170</x:f>
        <x:v>0</x:v>
      </x:c>
      <x:c r="L170" s="59"/>
      <x:c r="M170" s="53"/>
      <x:c r="N170" s="60" t="n">
        <x:f>IFERROR(MAXIFS(Purchases!$B:$B,Purchases!$D:$D,B170),"")</x:f>
        <x:v>0</x:v>
      </x:c>
      <x:c r="O170" s="50"/>
    </x:row>
    <x:row r="171">
      <x:c r="A171" s="53"/>
      <x:c r="B171" s="53"/>
      <x:c r="C171" s="53"/>
      <x:c r="D171" s="53"/>
      <x:c r="E171" s="58"/>
      <x:c r="F171" s="58"/>
      <x:c r="G171" s="59"/>
      <x:c r="H171" s="59" t="n">
        <x:f>SUMIF(Purchases!$D:$D,B171,Purchases!$F:$F)</x:f>
        <x:v>0</x:v>
      </x:c>
      <x:c r="I171" s="59" t="n">
        <x:f>SUMIF(Sales!$D:$D,B171,Sales!$G:$G)</x:f>
        <x:v>0</x:v>
      </x:c>
      <x:c r="J171" s="59" t="n">
        <x:f>G171+H171-I171</x:f>
        <x:v>0</x:v>
      </x:c>
      <x:c r="K171" s="58" t="n">
        <x:f>J171*E171</x:f>
        <x:v>0</x:v>
      </x:c>
      <x:c r="L171" s="59"/>
      <x:c r="M171" s="53"/>
      <x:c r="N171" s="60" t="n">
        <x:f>IFERROR(MAXIFS(Purchases!$B:$B,Purchases!$D:$D,B171),"")</x:f>
        <x:v>0</x:v>
      </x:c>
      <x:c r="O171" s="50"/>
    </x:row>
    <x:row r="172">
      <x:c r="A172" s="53"/>
      <x:c r="B172" s="53"/>
      <x:c r="C172" s="53"/>
      <x:c r="D172" s="53"/>
      <x:c r="E172" s="58"/>
      <x:c r="F172" s="58"/>
      <x:c r="G172" s="59"/>
      <x:c r="H172" s="59" t="n">
        <x:f>SUMIF(Purchases!$D:$D,B172,Purchases!$F:$F)</x:f>
        <x:v>0</x:v>
      </x:c>
      <x:c r="I172" s="59" t="n">
        <x:f>SUMIF(Sales!$D:$D,B172,Sales!$G:$G)</x:f>
        <x:v>0</x:v>
      </x:c>
      <x:c r="J172" s="59" t="n">
        <x:f>G172+H172-I172</x:f>
        <x:v>0</x:v>
      </x:c>
      <x:c r="K172" s="58" t="n">
        <x:f>J172*E172</x:f>
        <x:v>0</x:v>
      </x:c>
      <x:c r="L172" s="59"/>
      <x:c r="M172" s="53"/>
      <x:c r="N172" s="60" t="n">
        <x:f>IFERROR(MAXIFS(Purchases!$B:$B,Purchases!$D:$D,B172),"")</x:f>
        <x:v>0</x:v>
      </x:c>
      <x:c r="O172" s="50"/>
    </x:row>
    <x:row r="173">
      <x:c r="A173" s="53"/>
      <x:c r="B173" s="53"/>
      <x:c r="C173" s="53"/>
      <x:c r="D173" s="53"/>
      <x:c r="E173" s="58"/>
      <x:c r="F173" s="58"/>
      <x:c r="G173" s="59"/>
      <x:c r="H173" s="59" t="n">
        <x:f>SUMIF(Purchases!$D:$D,B173,Purchases!$F:$F)</x:f>
        <x:v>0</x:v>
      </x:c>
      <x:c r="I173" s="59" t="n">
        <x:f>SUMIF(Sales!$D:$D,B173,Sales!$G:$G)</x:f>
        <x:v>0</x:v>
      </x:c>
      <x:c r="J173" s="59" t="n">
        <x:f>G173+H173-I173</x:f>
        <x:v>0</x:v>
      </x:c>
      <x:c r="K173" s="58" t="n">
        <x:f>J173*E173</x:f>
        <x:v>0</x:v>
      </x:c>
      <x:c r="L173" s="59"/>
      <x:c r="M173" s="53"/>
      <x:c r="N173" s="60" t="n">
        <x:f>IFERROR(MAXIFS(Purchases!$B:$B,Purchases!$D:$D,B173),"")</x:f>
        <x:v>0</x:v>
      </x:c>
      <x:c r="O173" s="50"/>
    </x:row>
    <x:row r="174">
      <x:c r="A174" s="53"/>
      <x:c r="B174" s="53"/>
      <x:c r="C174" s="53"/>
      <x:c r="D174" s="53"/>
      <x:c r="E174" s="58"/>
      <x:c r="F174" s="58"/>
      <x:c r="G174" s="59"/>
      <x:c r="H174" s="59" t="n">
        <x:f>SUMIF(Purchases!$D:$D,B174,Purchases!$F:$F)</x:f>
        <x:v>0</x:v>
      </x:c>
      <x:c r="I174" s="59" t="n">
        <x:f>SUMIF(Sales!$D:$D,B174,Sales!$G:$G)</x:f>
        <x:v>0</x:v>
      </x:c>
      <x:c r="J174" s="59" t="n">
        <x:f>G174+H174-I174</x:f>
        <x:v>0</x:v>
      </x:c>
      <x:c r="K174" s="58" t="n">
        <x:f>J174*E174</x:f>
        <x:v>0</x:v>
      </x:c>
      <x:c r="L174" s="59"/>
      <x:c r="M174" s="53"/>
      <x:c r="N174" s="60" t="n">
        <x:f>IFERROR(MAXIFS(Purchases!$B:$B,Purchases!$D:$D,B174),"")</x:f>
        <x:v>0</x:v>
      </x:c>
      <x:c r="O174" s="50"/>
    </x:row>
    <x:row r="175">
      <x:c r="A175" s="53"/>
      <x:c r="B175" s="53"/>
      <x:c r="C175" s="53"/>
      <x:c r="D175" s="53"/>
      <x:c r="E175" s="58"/>
      <x:c r="F175" s="58"/>
      <x:c r="G175" s="59"/>
      <x:c r="H175" s="59" t="n">
        <x:f>SUMIF(Purchases!$D:$D,B175,Purchases!$F:$F)</x:f>
        <x:v>0</x:v>
      </x:c>
      <x:c r="I175" s="59" t="n">
        <x:f>SUMIF(Sales!$D:$D,B175,Sales!$G:$G)</x:f>
        <x:v>0</x:v>
      </x:c>
      <x:c r="J175" s="59" t="n">
        <x:f>G175+H175-I175</x:f>
        <x:v>0</x:v>
      </x:c>
      <x:c r="K175" s="58" t="n">
        <x:f>J175*E175</x:f>
        <x:v>0</x:v>
      </x:c>
      <x:c r="L175" s="59"/>
      <x:c r="M175" s="53"/>
      <x:c r="N175" s="60" t="n">
        <x:f>IFERROR(MAXIFS(Purchases!$B:$B,Purchases!$D:$D,B175),"")</x:f>
        <x:v>0</x:v>
      </x:c>
      <x:c r="O175" s="50"/>
    </x:row>
    <x:row r="176">
      <x:c r="A176" s="53"/>
      <x:c r="B176" s="53"/>
      <x:c r="C176" s="53"/>
      <x:c r="D176" s="53"/>
      <x:c r="E176" s="58"/>
      <x:c r="F176" s="58"/>
      <x:c r="G176" s="59"/>
      <x:c r="H176" s="59" t="n">
        <x:f>SUMIF(Purchases!$D:$D,B176,Purchases!$F:$F)</x:f>
        <x:v>0</x:v>
      </x:c>
      <x:c r="I176" s="59" t="n">
        <x:f>SUMIF(Sales!$D:$D,B176,Sales!$G:$G)</x:f>
        <x:v>0</x:v>
      </x:c>
      <x:c r="J176" s="59" t="n">
        <x:f>G176+H176-I176</x:f>
        <x:v>0</x:v>
      </x:c>
      <x:c r="K176" s="58" t="n">
        <x:f>J176*E176</x:f>
        <x:v>0</x:v>
      </x:c>
      <x:c r="L176" s="59"/>
      <x:c r="M176" s="53"/>
      <x:c r="N176" s="60" t="n">
        <x:f>IFERROR(MAXIFS(Purchases!$B:$B,Purchases!$D:$D,B176),"")</x:f>
        <x:v>0</x:v>
      </x:c>
      <x:c r="O176" s="50"/>
    </x:row>
    <x:row r="177">
      <x:c r="A177" s="53"/>
      <x:c r="B177" s="53"/>
      <x:c r="C177" s="53"/>
      <x:c r="D177" s="53"/>
      <x:c r="E177" s="58"/>
      <x:c r="F177" s="58"/>
      <x:c r="G177" s="59"/>
      <x:c r="H177" s="59" t="n">
        <x:f>SUMIF(Purchases!$D:$D,B177,Purchases!$F:$F)</x:f>
        <x:v>0</x:v>
      </x:c>
      <x:c r="I177" s="59" t="n">
        <x:f>SUMIF(Sales!$D:$D,B177,Sales!$G:$G)</x:f>
        <x:v>0</x:v>
      </x:c>
      <x:c r="J177" s="59" t="n">
        <x:f>G177+H177-I177</x:f>
        <x:v>0</x:v>
      </x:c>
      <x:c r="K177" s="58" t="n">
        <x:f>J177*E177</x:f>
        <x:v>0</x:v>
      </x:c>
      <x:c r="L177" s="59"/>
      <x:c r="M177" s="53"/>
      <x:c r="N177" s="60" t="n">
        <x:f>IFERROR(MAXIFS(Purchases!$B:$B,Purchases!$D:$D,B177),"")</x:f>
        <x:v>0</x:v>
      </x:c>
      <x:c r="O177" s="50"/>
    </x:row>
    <x:row r="178">
      <x:c r="A178" s="53"/>
      <x:c r="B178" s="53"/>
      <x:c r="C178" s="53"/>
      <x:c r="D178" s="53"/>
      <x:c r="E178" s="58"/>
      <x:c r="F178" s="58"/>
      <x:c r="G178" s="59"/>
      <x:c r="H178" s="59" t="n">
        <x:f>SUMIF(Purchases!$D:$D,B178,Purchases!$F:$F)</x:f>
        <x:v>0</x:v>
      </x:c>
      <x:c r="I178" s="59" t="n">
        <x:f>SUMIF(Sales!$D:$D,B178,Sales!$G:$G)</x:f>
        <x:v>0</x:v>
      </x:c>
      <x:c r="J178" s="59" t="n">
        <x:f>G178+H178-I178</x:f>
        <x:v>0</x:v>
      </x:c>
      <x:c r="K178" s="58" t="n">
        <x:f>J178*E178</x:f>
        <x:v>0</x:v>
      </x:c>
      <x:c r="L178" s="59"/>
      <x:c r="M178" s="53"/>
      <x:c r="N178" s="60" t="n">
        <x:f>IFERROR(MAXIFS(Purchases!$B:$B,Purchases!$D:$D,B178),"")</x:f>
        <x:v>0</x:v>
      </x:c>
      <x:c r="O178" s="50"/>
    </x:row>
    <x:row r="179">
      <x:c r="A179" s="53"/>
      <x:c r="B179" s="53"/>
      <x:c r="C179" s="53"/>
      <x:c r="D179" s="53"/>
      <x:c r="E179" s="58"/>
      <x:c r="F179" s="58"/>
      <x:c r="G179" s="59"/>
      <x:c r="H179" s="59" t="n">
        <x:f>SUMIF(Purchases!$D:$D,B179,Purchases!$F:$F)</x:f>
        <x:v>0</x:v>
      </x:c>
      <x:c r="I179" s="59" t="n">
        <x:f>SUMIF(Sales!$D:$D,B179,Sales!$G:$G)</x:f>
        <x:v>0</x:v>
      </x:c>
      <x:c r="J179" s="59" t="n">
        <x:f>G179+H179-I179</x:f>
        <x:v>0</x:v>
      </x:c>
      <x:c r="K179" s="58" t="n">
        <x:f>J179*E179</x:f>
        <x:v>0</x:v>
      </x:c>
      <x:c r="L179" s="59"/>
      <x:c r="M179" s="53"/>
      <x:c r="N179" s="60" t="n">
        <x:f>IFERROR(MAXIFS(Purchases!$B:$B,Purchases!$D:$D,B179),"")</x:f>
        <x:v>0</x:v>
      </x:c>
      <x:c r="O179" s="50"/>
    </x:row>
    <x:row r="180">
      <x:c r="A180" s="53"/>
      <x:c r="B180" s="53"/>
      <x:c r="C180" s="53"/>
      <x:c r="D180" s="53"/>
      <x:c r="E180" s="58"/>
      <x:c r="F180" s="58"/>
      <x:c r="G180" s="59"/>
      <x:c r="H180" s="59" t="n">
        <x:f>SUMIF(Purchases!$D:$D,B180,Purchases!$F:$F)</x:f>
        <x:v>0</x:v>
      </x:c>
      <x:c r="I180" s="59" t="n">
        <x:f>SUMIF(Sales!$D:$D,B180,Sales!$G:$G)</x:f>
        <x:v>0</x:v>
      </x:c>
      <x:c r="J180" s="59" t="n">
        <x:f>G180+H180-I180</x:f>
        <x:v>0</x:v>
      </x:c>
      <x:c r="K180" s="58" t="n">
        <x:f>J180*E180</x:f>
        <x:v>0</x:v>
      </x:c>
      <x:c r="L180" s="59"/>
      <x:c r="M180" s="53"/>
      <x:c r="N180" s="60" t="n">
        <x:f>IFERROR(MAXIFS(Purchases!$B:$B,Purchases!$D:$D,B180),"")</x:f>
        <x:v>0</x:v>
      </x:c>
      <x:c r="O180" s="50"/>
    </x:row>
    <x:row r="181">
      <x:c r="A181" s="53"/>
      <x:c r="B181" s="53"/>
      <x:c r="C181" s="53"/>
      <x:c r="D181" s="53"/>
      <x:c r="E181" s="58"/>
      <x:c r="F181" s="58"/>
      <x:c r="G181" s="59"/>
      <x:c r="H181" s="59" t="n">
        <x:f>SUMIF(Purchases!$D:$D,B181,Purchases!$F:$F)</x:f>
        <x:v>0</x:v>
      </x:c>
      <x:c r="I181" s="59" t="n">
        <x:f>SUMIF(Sales!$D:$D,B181,Sales!$G:$G)</x:f>
        <x:v>0</x:v>
      </x:c>
      <x:c r="J181" s="59" t="n">
        <x:f>G181+H181-I181</x:f>
        <x:v>0</x:v>
      </x:c>
      <x:c r="K181" s="58" t="n">
        <x:f>J181*E181</x:f>
        <x:v>0</x:v>
      </x:c>
      <x:c r="L181" s="59"/>
      <x:c r="M181" s="53"/>
      <x:c r="N181" s="60" t="n">
        <x:f>IFERROR(MAXIFS(Purchases!$B:$B,Purchases!$D:$D,B181),"")</x:f>
        <x:v>0</x:v>
      </x:c>
      <x:c r="O181" s="50"/>
    </x:row>
    <x:row r="182">
      <x:c r="A182" s="53"/>
      <x:c r="B182" s="53"/>
      <x:c r="C182" s="53"/>
      <x:c r="D182" s="53"/>
      <x:c r="E182" s="58"/>
      <x:c r="F182" s="58"/>
      <x:c r="G182" s="59"/>
      <x:c r="H182" s="59" t="n">
        <x:f>SUMIF(Purchases!$D:$D,B182,Purchases!$F:$F)</x:f>
        <x:v>0</x:v>
      </x:c>
      <x:c r="I182" s="59" t="n">
        <x:f>SUMIF(Sales!$D:$D,B182,Sales!$G:$G)</x:f>
        <x:v>0</x:v>
      </x:c>
      <x:c r="J182" s="59" t="n">
        <x:f>G182+H182-I182</x:f>
        <x:v>0</x:v>
      </x:c>
      <x:c r="K182" s="58" t="n">
        <x:f>J182*E182</x:f>
        <x:v>0</x:v>
      </x:c>
      <x:c r="L182" s="59"/>
      <x:c r="M182" s="53"/>
      <x:c r="N182" s="60" t="n">
        <x:f>IFERROR(MAXIFS(Purchases!$B:$B,Purchases!$D:$D,B182),"")</x:f>
        <x:v>0</x:v>
      </x:c>
      <x:c r="O182" s="50"/>
    </x:row>
    <x:row r="183">
      <x:c r="A183" s="53"/>
      <x:c r="B183" s="53"/>
      <x:c r="C183" s="53"/>
      <x:c r="D183" s="53"/>
      <x:c r="E183" s="58"/>
      <x:c r="F183" s="58"/>
      <x:c r="G183" s="59"/>
      <x:c r="H183" s="59" t="n">
        <x:f>SUMIF(Purchases!$D:$D,B183,Purchases!$F:$F)</x:f>
        <x:v>0</x:v>
      </x:c>
      <x:c r="I183" s="59" t="n">
        <x:f>SUMIF(Sales!$D:$D,B183,Sales!$G:$G)</x:f>
        <x:v>0</x:v>
      </x:c>
      <x:c r="J183" s="59" t="n">
        <x:f>G183+H183-I183</x:f>
        <x:v>0</x:v>
      </x:c>
      <x:c r="K183" s="58" t="n">
        <x:f>J183*E183</x:f>
        <x:v>0</x:v>
      </x:c>
      <x:c r="L183" s="59"/>
      <x:c r="M183" s="53"/>
      <x:c r="N183" s="60" t="n">
        <x:f>IFERROR(MAXIFS(Purchases!$B:$B,Purchases!$D:$D,B183),"")</x:f>
        <x:v>0</x:v>
      </x:c>
      <x:c r="O183" s="50"/>
    </x:row>
    <x:row r="184">
      <x:c r="A184" s="53"/>
      <x:c r="B184" s="53"/>
      <x:c r="C184" s="53"/>
      <x:c r="D184" s="53"/>
      <x:c r="E184" s="58"/>
      <x:c r="F184" s="58"/>
      <x:c r="G184" s="59"/>
      <x:c r="H184" s="59" t="n">
        <x:f>SUMIF(Purchases!$D:$D,B184,Purchases!$F:$F)</x:f>
        <x:v>0</x:v>
      </x:c>
      <x:c r="I184" s="59" t="n">
        <x:f>SUMIF(Sales!$D:$D,B184,Sales!$G:$G)</x:f>
        <x:v>0</x:v>
      </x:c>
      <x:c r="J184" s="59" t="n">
        <x:f>G184+H184-I184</x:f>
        <x:v>0</x:v>
      </x:c>
      <x:c r="K184" s="58" t="n">
        <x:f>J184*E184</x:f>
        <x:v>0</x:v>
      </x:c>
      <x:c r="L184" s="59"/>
      <x:c r="M184" s="53"/>
      <x:c r="N184" s="60" t="n">
        <x:f>IFERROR(MAXIFS(Purchases!$B:$B,Purchases!$D:$D,B184),"")</x:f>
        <x:v>0</x:v>
      </x:c>
      <x:c r="O184" s="50"/>
    </x:row>
    <x:row r="185">
      <x:c r="A185" s="53"/>
      <x:c r="B185" s="53"/>
      <x:c r="C185" s="53"/>
      <x:c r="D185" s="53"/>
      <x:c r="E185" s="58"/>
      <x:c r="F185" s="58"/>
      <x:c r="G185" s="59"/>
      <x:c r="H185" s="59" t="n">
        <x:f>SUMIF(Purchases!$D:$D,B185,Purchases!$F:$F)</x:f>
        <x:v>0</x:v>
      </x:c>
      <x:c r="I185" s="59" t="n">
        <x:f>SUMIF(Sales!$D:$D,B185,Sales!$G:$G)</x:f>
        <x:v>0</x:v>
      </x:c>
      <x:c r="J185" s="59" t="n">
        <x:f>G185+H185-I185</x:f>
        <x:v>0</x:v>
      </x:c>
      <x:c r="K185" s="58" t="n">
        <x:f>J185*E185</x:f>
        <x:v>0</x:v>
      </x:c>
      <x:c r="L185" s="59"/>
      <x:c r="M185" s="53"/>
      <x:c r="N185" s="60" t="n">
        <x:f>IFERROR(MAXIFS(Purchases!$B:$B,Purchases!$D:$D,B185),"")</x:f>
        <x:v>0</x:v>
      </x:c>
      <x:c r="O185" s="50"/>
    </x:row>
    <x:row r="186">
      <x:c r="A186" s="53"/>
      <x:c r="B186" s="53"/>
      <x:c r="C186" s="53"/>
      <x:c r="D186" s="53"/>
      <x:c r="E186" s="58"/>
      <x:c r="F186" s="58"/>
      <x:c r="G186" s="59"/>
      <x:c r="H186" s="59" t="n">
        <x:f>SUMIF(Purchases!$D:$D,B186,Purchases!$F:$F)</x:f>
        <x:v>0</x:v>
      </x:c>
      <x:c r="I186" s="59" t="n">
        <x:f>SUMIF(Sales!$D:$D,B186,Sales!$G:$G)</x:f>
        <x:v>0</x:v>
      </x:c>
      <x:c r="J186" s="59" t="n">
        <x:f>G186+H186-I186</x:f>
        <x:v>0</x:v>
      </x:c>
      <x:c r="K186" s="58" t="n">
        <x:f>J186*E186</x:f>
        <x:v>0</x:v>
      </x:c>
      <x:c r="L186" s="59"/>
      <x:c r="M186" s="53"/>
      <x:c r="N186" s="60" t="n">
        <x:f>IFERROR(MAXIFS(Purchases!$B:$B,Purchases!$D:$D,B186),"")</x:f>
        <x:v>0</x:v>
      </x:c>
      <x:c r="O186" s="50"/>
    </x:row>
    <x:row r="187">
      <x:c r="A187" s="53"/>
      <x:c r="B187" s="53"/>
      <x:c r="C187" s="53"/>
      <x:c r="D187" s="53"/>
      <x:c r="E187" s="58"/>
      <x:c r="F187" s="58"/>
      <x:c r="G187" s="59"/>
      <x:c r="H187" s="59" t="n">
        <x:f>SUMIF(Purchases!$D:$D,B187,Purchases!$F:$F)</x:f>
        <x:v>0</x:v>
      </x:c>
      <x:c r="I187" s="59" t="n">
        <x:f>SUMIF(Sales!$D:$D,B187,Sales!$G:$G)</x:f>
        <x:v>0</x:v>
      </x:c>
      <x:c r="J187" s="59" t="n">
        <x:f>G187+H187-I187</x:f>
        <x:v>0</x:v>
      </x:c>
      <x:c r="K187" s="58" t="n">
        <x:f>J187*E187</x:f>
        <x:v>0</x:v>
      </x:c>
      <x:c r="L187" s="59"/>
      <x:c r="M187" s="53"/>
      <x:c r="N187" s="60" t="n">
        <x:f>IFERROR(MAXIFS(Purchases!$B:$B,Purchases!$D:$D,B187),"")</x:f>
        <x:v>0</x:v>
      </x:c>
      <x:c r="O187" s="50"/>
    </x:row>
    <x:row r="188">
      <x:c r="A188" s="53"/>
      <x:c r="B188" s="53"/>
      <x:c r="C188" s="53"/>
      <x:c r="D188" s="53"/>
      <x:c r="E188" s="58"/>
      <x:c r="F188" s="58"/>
      <x:c r="G188" s="59"/>
      <x:c r="H188" s="59" t="n">
        <x:f>SUMIF(Purchases!$D:$D,B188,Purchases!$F:$F)</x:f>
        <x:v>0</x:v>
      </x:c>
      <x:c r="I188" s="59" t="n">
        <x:f>SUMIF(Sales!$D:$D,B188,Sales!$G:$G)</x:f>
        <x:v>0</x:v>
      </x:c>
      <x:c r="J188" s="59" t="n">
        <x:f>G188+H188-I188</x:f>
        <x:v>0</x:v>
      </x:c>
      <x:c r="K188" s="58" t="n">
        <x:f>J188*E188</x:f>
        <x:v>0</x:v>
      </x:c>
      <x:c r="L188" s="59"/>
      <x:c r="M188" s="53"/>
      <x:c r="N188" s="60" t="n">
        <x:f>IFERROR(MAXIFS(Purchases!$B:$B,Purchases!$D:$D,B188),"")</x:f>
        <x:v>0</x:v>
      </x:c>
      <x:c r="O188" s="50"/>
    </x:row>
    <x:row r="189">
      <x:c r="A189" s="53"/>
      <x:c r="B189" s="53"/>
      <x:c r="C189" s="53"/>
      <x:c r="D189" s="53"/>
      <x:c r="E189" s="58"/>
      <x:c r="F189" s="58"/>
      <x:c r="G189" s="59"/>
      <x:c r="H189" s="59" t="n">
        <x:f>SUMIF(Purchases!$D:$D,B189,Purchases!$F:$F)</x:f>
        <x:v>0</x:v>
      </x:c>
      <x:c r="I189" s="59" t="n">
        <x:f>SUMIF(Sales!$D:$D,B189,Sales!$G:$G)</x:f>
        <x:v>0</x:v>
      </x:c>
      <x:c r="J189" s="59" t="n">
        <x:f>G189+H189-I189</x:f>
        <x:v>0</x:v>
      </x:c>
      <x:c r="K189" s="58" t="n">
        <x:f>J189*E189</x:f>
        <x:v>0</x:v>
      </x:c>
      <x:c r="L189" s="59"/>
      <x:c r="M189" s="53"/>
      <x:c r="N189" s="60" t="n">
        <x:f>IFERROR(MAXIFS(Purchases!$B:$B,Purchases!$D:$D,B189),"")</x:f>
        <x:v>0</x:v>
      </x:c>
      <x:c r="O189" s="50"/>
    </x:row>
    <x:row r="190">
      <x:c r="A190" s="53"/>
      <x:c r="B190" s="53"/>
      <x:c r="C190" s="53"/>
      <x:c r="D190" s="53"/>
      <x:c r="E190" s="58"/>
      <x:c r="F190" s="58"/>
      <x:c r="G190" s="59"/>
      <x:c r="H190" s="59" t="n">
        <x:f>SUMIF(Purchases!$D:$D,B190,Purchases!$F:$F)</x:f>
        <x:v>0</x:v>
      </x:c>
      <x:c r="I190" s="59" t="n">
        <x:f>SUMIF(Sales!$D:$D,B190,Sales!$G:$G)</x:f>
        <x:v>0</x:v>
      </x:c>
      <x:c r="J190" s="59" t="n">
        <x:f>G190+H190-I190</x:f>
        <x:v>0</x:v>
      </x:c>
      <x:c r="K190" s="58" t="n">
        <x:f>J190*E190</x:f>
        <x:v>0</x:v>
      </x:c>
      <x:c r="L190" s="59"/>
      <x:c r="M190" s="53"/>
      <x:c r="N190" s="60" t="n">
        <x:f>IFERROR(MAXIFS(Purchases!$B:$B,Purchases!$D:$D,B190),"")</x:f>
        <x:v>0</x:v>
      </x:c>
      <x:c r="O190" s="50"/>
    </x:row>
    <x:row r="191">
      <x:c r="A191" s="53"/>
      <x:c r="B191" s="53"/>
      <x:c r="C191" s="53"/>
      <x:c r="D191" s="53"/>
      <x:c r="E191" s="58"/>
      <x:c r="F191" s="58"/>
      <x:c r="G191" s="59"/>
      <x:c r="H191" s="59" t="n">
        <x:f>SUMIF(Purchases!$D:$D,B191,Purchases!$F:$F)</x:f>
        <x:v>0</x:v>
      </x:c>
      <x:c r="I191" s="59" t="n">
        <x:f>SUMIF(Sales!$D:$D,B191,Sales!$G:$G)</x:f>
        <x:v>0</x:v>
      </x:c>
      <x:c r="J191" s="59" t="n">
        <x:f>G191+H191-I191</x:f>
        <x:v>0</x:v>
      </x:c>
      <x:c r="K191" s="58" t="n">
        <x:f>J191*E191</x:f>
        <x:v>0</x:v>
      </x:c>
      <x:c r="L191" s="59"/>
      <x:c r="M191" s="53"/>
      <x:c r="N191" s="60" t="n">
        <x:f>IFERROR(MAXIFS(Purchases!$B:$B,Purchases!$D:$D,B191),"")</x:f>
        <x:v>0</x:v>
      </x:c>
      <x:c r="O191" s="50"/>
    </x:row>
    <x:row r="192">
      <x:c r="A192" s="53"/>
      <x:c r="B192" s="53"/>
      <x:c r="C192" s="53"/>
      <x:c r="D192" s="53"/>
      <x:c r="E192" s="58"/>
      <x:c r="F192" s="58"/>
      <x:c r="G192" s="59"/>
      <x:c r="H192" s="59" t="n">
        <x:f>SUMIF(Purchases!$D:$D,B192,Purchases!$F:$F)</x:f>
        <x:v>0</x:v>
      </x:c>
      <x:c r="I192" s="59" t="n">
        <x:f>SUMIF(Sales!$D:$D,B192,Sales!$G:$G)</x:f>
        <x:v>0</x:v>
      </x:c>
      <x:c r="J192" s="59" t="n">
        <x:f>G192+H192-I192</x:f>
        <x:v>0</x:v>
      </x:c>
      <x:c r="K192" s="58" t="n">
        <x:f>J192*E192</x:f>
        <x:v>0</x:v>
      </x:c>
      <x:c r="L192" s="59"/>
      <x:c r="M192" s="53"/>
      <x:c r="N192" s="60" t="n">
        <x:f>IFERROR(MAXIFS(Purchases!$B:$B,Purchases!$D:$D,B192),"")</x:f>
        <x:v>0</x:v>
      </x:c>
      <x:c r="O192" s="50"/>
    </x:row>
    <x:row r="193">
      <x:c r="A193" s="53"/>
      <x:c r="B193" s="53"/>
      <x:c r="C193" s="53"/>
      <x:c r="D193" s="53"/>
      <x:c r="E193" s="58"/>
      <x:c r="F193" s="58"/>
      <x:c r="G193" s="59"/>
      <x:c r="H193" s="59" t="n">
        <x:f>SUMIF(Purchases!$D:$D,B193,Purchases!$F:$F)</x:f>
        <x:v>0</x:v>
      </x:c>
      <x:c r="I193" s="59" t="n">
        <x:f>SUMIF(Sales!$D:$D,B193,Sales!$G:$G)</x:f>
        <x:v>0</x:v>
      </x:c>
      <x:c r="J193" s="59" t="n">
        <x:f>G193+H193-I193</x:f>
        <x:v>0</x:v>
      </x:c>
      <x:c r="K193" s="58" t="n">
        <x:f>J193*E193</x:f>
        <x:v>0</x:v>
      </x:c>
      <x:c r="L193" s="59"/>
      <x:c r="M193" s="53"/>
      <x:c r="N193" s="60" t="n">
        <x:f>IFERROR(MAXIFS(Purchases!$B:$B,Purchases!$D:$D,B193),"")</x:f>
        <x:v>0</x:v>
      </x:c>
      <x:c r="O193" s="50"/>
    </x:row>
    <x:row r="194">
      <x:c r="A194" s="53"/>
      <x:c r="B194" s="53"/>
      <x:c r="C194" s="53"/>
      <x:c r="D194" s="53"/>
      <x:c r="E194" s="58"/>
      <x:c r="F194" s="58"/>
      <x:c r="G194" s="59"/>
      <x:c r="H194" s="59" t="n">
        <x:f>SUMIF(Purchases!$D:$D,B194,Purchases!$F:$F)</x:f>
        <x:v>0</x:v>
      </x:c>
      <x:c r="I194" s="59" t="n">
        <x:f>SUMIF(Sales!$D:$D,B194,Sales!$G:$G)</x:f>
        <x:v>0</x:v>
      </x:c>
      <x:c r="J194" s="59" t="n">
        <x:f>G194+H194-I194</x:f>
        <x:v>0</x:v>
      </x:c>
      <x:c r="K194" s="58" t="n">
        <x:f>J194*E194</x:f>
        <x:v>0</x:v>
      </x:c>
      <x:c r="L194" s="59"/>
      <x:c r="M194" s="53"/>
      <x:c r="N194" s="60" t="n">
        <x:f>IFERROR(MAXIFS(Purchases!$B:$B,Purchases!$D:$D,B194),"")</x:f>
        <x:v>0</x:v>
      </x:c>
      <x:c r="O194" s="50"/>
    </x:row>
    <x:row r="195">
      <x:c r="A195" s="53"/>
      <x:c r="B195" s="53"/>
      <x:c r="C195" s="53"/>
      <x:c r="D195" s="53"/>
      <x:c r="E195" s="58"/>
      <x:c r="F195" s="58"/>
      <x:c r="G195" s="59"/>
      <x:c r="H195" s="59" t="n">
        <x:f>SUMIF(Purchases!$D:$D,B195,Purchases!$F:$F)</x:f>
        <x:v>0</x:v>
      </x:c>
      <x:c r="I195" s="59" t="n">
        <x:f>SUMIF(Sales!$D:$D,B195,Sales!$G:$G)</x:f>
        <x:v>0</x:v>
      </x:c>
      <x:c r="J195" s="59" t="n">
        <x:f>G195+H195-I195</x:f>
        <x:v>0</x:v>
      </x:c>
      <x:c r="K195" s="58" t="n">
        <x:f>J195*E195</x:f>
        <x:v>0</x:v>
      </x:c>
      <x:c r="L195" s="59"/>
      <x:c r="M195" s="53"/>
      <x:c r="N195" s="60" t="n">
        <x:f>IFERROR(MAXIFS(Purchases!$B:$B,Purchases!$D:$D,B195),"")</x:f>
        <x:v>0</x:v>
      </x:c>
      <x:c r="O195" s="50"/>
    </x:row>
    <x:row r="196">
      <x:c r="A196" s="53"/>
      <x:c r="B196" s="53"/>
      <x:c r="C196" s="53"/>
      <x:c r="D196" s="53"/>
      <x:c r="E196" s="58"/>
      <x:c r="F196" s="58"/>
      <x:c r="G196" s="59"/>
      <x:c r="H196" s="59" t="n">
        <x:f>SUMIF(Purchases!$D:$D,B196,Purchases!$F:$F)</x:f>
        <x:v>0</x:v>
      </x:c>
      <x:c r="I196" s="59" t="n">
        <x:f>SUMIF(Sales!$D:$D,B196,Sales!$G:$G)</x:f>
        <x:v>0</x:v>
      </x:c>
      <x:c r="J196" s="59" t="n">
        <x:f>G196+H196-I196</x:f>
        <x:v>0</x:v>
      </x:c>
      <x:c r="K196" s="58" t="n">
        <x:f>J196*E196</x:f>
        <x:v>0</x:v>
      </x:c>
      <x:c r="L196" s="59"/>
      <x:c r="M196" s="53"/>
      <x:c r="N196" s="60" t="n">
        <x:f>IFERROR(MAXIFS(Purchases!$B:$B,Purchases!$D:$D,B196),"")</x:f>
        <x:v>0</x:v>
      </x:c>
      <x:c r="O196" s="50"/>
    </x:row>
    <x:row r="197">
      <x:c r="A197" s="53"/>
      <x:c r="B197" s="53"/>
      <x:c r="C197" s="53"/>
      <x:c r="D197" s="53"/>
      <x:c r="E197" s="58"/>
      <x:c r="F197" s="58"/>
      <x:c r="G197" s="59"/>
      <x:c r="H197" s="59" t="n">
        <x:f>SUMIF(Purchases!$D:$D,B197,Purchases!$F:$F)</x:f>
        <x:v>0</x:v>
      </x:c>
      <x:c r="I197" s="59" t="n">
        <x:f>SUMIF(Sales!$D:$D,B197,Sales!$G:$G)</x:f>
        <x:v>0</x:v>
      </x:c>
      <x:c r="J197" s="59" t="n">
        <x:f>G197+H197-I197</x:f>
        <x:v>0</x:v>
      </x:c>
      <x:c r="K197" s="58" t="n">
        <x:f>J197*E197</x:f>
        <x:v>0</x:v>
      </x:c>
      <x:c r="L197" s="59"/>
      <x:c r="M197" s="53"/>
      <x:c r="N197" s="60" t="n">
        <x:f>IFERROR(MAXIFS(Purchases!$B:$B,Purchases!$D:$D,B197),"")</x:f>
        <x:v>0</x:v>
      </x:c>
      <x:c r="O197" s="50"/>
    </x:row>
    <x:row r="198">
      <x:c r="A198" s="53"/>
      <x:c r="B198" s="53"/>
      <x:c r="C198" s="53"/>
      <x:c r="D198" s="53"/>
      <x:c r="E198" s="58"/>
      <x:c r="F198" s="58"/>
      <x:c r="G198" s="59"/>
      <x:c r="H198" s="59" t="n">
        <x:f>SUMIF(Purchases!$D:$D,B198,Purchases!$F:$F)</x:f>
        <x:v>0</x:v>
      </x:c>
      <x:c r="I198" s="59" t="n">
        <x:f>SUMIF(Sales!$D:$D,B198,Sales!$G:$G)</x:f>
        <x:v>0</x:v>
      </x:c>
      <x:c r="J198" s="59" t="n">
        <x:f>G198+H198-I198</x:f>
        <x:v>0</x:v>
      </x:c>
      <x:c r="K198" s="58" t="n">
        <x:f>J198*E198</x:f>
        <x:v>0</x:v>
      </x:c>
      <x:c r="L198" s="59"/>
      <x:c r="M198" s="53"/>
      <x:c r="N198" s="60" t="n">
        <x:f>IFERROR(MAXIFS(Purchases!$B:$B,Purchases!$D:$D,B198),"")</x:f>
        <x:v>0</x:v>
      </x:c>
      <x:c r="O198" s="50"/>
    </x:row>
    <x:row r="199">
      <x:c r="A199" s="53"/>
      <x:c r="B199" s="53"/>
      <x:c r="C199" s="53"/>
      <x:c r="D199" s="53"/>
      <x:c r="E199" s="58"/>
      <x:c r="F199" s="58"/>
      <x:c r="G199" s="59"/>
      <x:c r="H199" s="59" t="n">
        <x:f>SUMIF(Purchases!$D:$D,B199,Purchases!$F:$F)</x:f>
        <x:v>0</x:v>
      </x:c>
      <x:c r="I199" s="59" t="n">
        <x:f>SUMIF(Sales!$D:$D,B199,Sales!$G:$G)</x:f>
        <x:v>0</x:v>
      </x:c>
      <x:c r="J199" s="59" t="n">
        <x:f>G199+H199-I199</x:f>
        <x:v>0</x:v>
      </x:c>
      <x:c r="K199" s="58" t="n">
        <x:f>J199*E199</x:f>
        <x:v>0</x:v>
      </x:c>
      <x:c r="L199" s="59"/>
      <x:c r="M199" s="53"/>
      <x:c r="N199" s="60" t="n">
        <x:f>IFERROR(MAXIFS(Purchases!$B:$B,Purchases!$D:$D,B199),"")</x:f>
        <x:v>0</x:v>
      </x:c>
      <x:c r="O199" s="50"/>
    </x:row>
    <x:row r="200">
      <x:c r="A200" s="53"/>
      <x:c r="B200" s="53"/>
      <x:c r="C200" s="53"/>
      <x:c r="D200" s="53"/>
      <x:c r="E200" s="58"/>
      <x:c r="F200" s="58"/>
      <x:c r="G200" s="59"/>
      <x:c r="H200" s="59" t="n">
        <x:f>SUMIF(Purchases!$D:$D,B200,Purchases!$F:$F)</x:f>
        <x:v>0</x:v>
      </x:c>
      <x:c r="I200" s="59" t="n">
        <x:f>SUMIF(Sales!$D:$D,B200,Sales!$G:$G)</x:f>
        <x:v>0</x:v>
      </x:c>
      <x:c r="J200" s="59" t="n">
        <x:f>G200+H200-I200</x:f>
        <x:v>0</x:v>
      </x:c>
      <x:c r="K200" s="58" t="n">
        <x:f>J200*E200</x:f>
        <x:v>0</x:v>
      </x:c>
      <x:c r="L200" s="59"/>
      <x:c r="M200" s="53"/>
      <x:c r="N200" s="60" t="n">
        <x:f>IFERROR(MAXIFS(Purchases!$B:$B,Purchases!$D:$D,B200),"")</x:f>
        <x:v>0</x:v>
      </x:c>
      <x:c r="O200" s="50"/>
    </x:row>
    <x:row r="201">
      <x:c r="A201" s="53"/>
      <x:c r="B201" s="53"/>
      <x:c r="C201" s="53"/>
      <x:c r="D201" s="53"/>
      <x:c r="E201" s="58"/>
      <x:c r="F201" s="58"/>
      <x:c r="G201" s="59"/>
      <x:c r="H201" s="59" t="n">
        <x:f>SUMIF(Purchases!$D:$D,B201,Purchases!$F:$F)</x:f>
        <x:v>0</x:v>
      </x:c>
      <x:c r="I201" s="59" t="n">
        <x:f>SUMIF(Sales!$D:$D,B201,Sales!$G:$G)</x:f>
        <x:v>0</x:v>
      </x:c>
      <x:c r="J201" s="59" t="n">
        <x:f>G201+H201-I201</x:f>
        <x:v>0</x:v>
      </x:c>
      <x:c r="K201" s="58" t="n">
        <x:f>J201*E201</x:f>
        <x:v>0</x:v>
      </x:c>
      <x:c r="L201" s="59"/>
      <x:c r="M201" s="53"/>
      <x:c r="N201" s="60" t="n">
        <x:f>IFERROR(MAXIFS(Purchases!$B:$B,Purchases!$D:$D,B201),"")</x:f>
        <x:v>0</x:v>
      </x:c>
      <x:c r="O201" s="50"/>
    </x:row>
    <x:row r="202">
      <x:c r="A202" s="53"/>
      <x:c r="B202" s="53"/>
      <x:c r="C202" s="53"/>
      <x:c r="D202" s="53"/>
      <x:c r="E202" s="58"/>
      <x:c r="F202" s="58"/>
      <x:c r="G202" s="59"/>
      <x:c r="H202" s="59" t="n">
        <x:f>SUMIF(Purchases!$D:$D,B202,Purchases!$F:$F)</x:f>
        <x:v>0</x:v>
      </x:c>
      <x:c r="I202" s="59" t="n">
        <x:f>SUMIF(Sales!$D:$D,B202,Sales!$G:$G)</x:f>
        <x:v>0</x:v>
      </x:c>
      <x:c r="J202" s="59" t="n">
        <x:f>G202+H202-I202</x:f>
        <x:v>0</x:v>
      </x:c>
      <x:c r="K202" s="58" t="n">
        <x:f>J202*E202</x:f>
        <x:v>0</x:v>
      </x:c>
      <x:c r="L202" s="59"/>
      <x:c r="M202" s="53"/>
      <x:c r="N202" s="60" t="n">
        <x:f>IFERROR(MAXIFS(Purchases!$B:$B,Purchases!$D:$D,B202),"")</x:f>
        <x:v>0</x:v>
      </x:c>
      <x:c r="O202" s="50"/>
    </x:row>
    <x:row r="203">
      <x:c r="A203" s="53"/>
      <x:c r="B203" s="53"/>
      <x:c r="C203" s="53"/>
      <x:c r="D203" s="53"/>
      <x:c r="E203" s="58"/>
      <x:c r="F203" s="58"/>
      <x:c r="G203" s="59"/>
      <x:c r="H203" s="59" t="n">
        <x:f>SUMIF(Purchases!$D:$D,B203,Purchases!$F:$F)</x:f>
        <x:v>0</x:v>
      </x:c>
      <x:c r="I203" s="59" t="n">
        <x:f>SUMIF(Sales!$D:$D,B203,Sales!$G:$G)</x:f>
        <x:v>0</x:v>
      </x:c>
      <x:c r="J203" s="59" t="n">
        <x:f>G203+H203-I203</x:f>
        <x:v>0</x:v>
      </x:c>
      <x:c r="K203" s="58" t="n">
        <x:f>J203*E203</x:f>
        <x:v>0</x:v>
      </x:c>
      <x:c r="L203" s="59"/>
      <x:c r="M203" s="53"/>
      <x:c r="N203" s="60" t="n">
        <x:f>IFERROR(MAXIFS(Purchases!$B:$B,Purchases!$D:$D,B203),"")</x:f>
        <x:v>0</x:v>
      </x:c>
      <x:c r="O203" s="50"/>
    </x:row>
    <x:row r="204">
      <x:c r="A204" s="53"/>
      <x:c r="B204" s="53"/>
      <x:c r="C204" s="53"/>
      <x:c r="D204" s="53"/>
      <x:c r="E204" s="58"/>
      <x:c r="F204" s="58"/>
      <x:c r="G204" s="59"/>
      <x:c r="H204" s="59" t="n">
        <x:f>SUMIF(Purchases!$D:$D,B204,Purchases!$F:$F)</x:f>
        <x:v>0</x:v>
      </x:c>
      <x:c r="I204" s="59" t="n">
        <x:f>SUMIF(Sales!$D:$D,B204,Sales!$G:$G)</x:f>
        <x:v>0</x:v>
      </x:c>
      <x:c r="J204" s="59" t="n">
        <x:f>G204+H204-I204</x:f>
        <x:v>0</x:v>
      </x:c>
      <x:c r="K204" s="58" t="n">
        <x:f>J204*E204</x:f>
        <x:v>0</x:v>
      </x:c>
      <x:c r="L204" s="59"/>
      <x:c r="M204" s="53"/>
      <x:c r="N204" s="60" t="n">
        <x:f>IFERROR(MAXIFS(Purchases!$B:$B,Purchases!$D:$D,B204),"")</x:f>
        <x:v>0</x:v>
      </x:c>
      <x:c r="O204" s="50"/>
    </x:row>
    <x:row r="205">
      <x:c r="A205" s="53"/>
      <x:c r="B205" s="53"/>
      <x:c r="C205" s="53"/>
      <x:c r="D205" s="53"/>
      <x:c r="E205" s="58"/>
      <x:c r="F205" s="58"/>
      <x:c r="G205" s="59"/>
      <x:c r="H205" s="59" t="n">
        <x:f>SUMIF(Purchases!$D:$D,B205,Purchases!$F:$F)</x:f>
        <x:v>0</x:v>
      </x:c>
      <x:c r="I205" s="59" t="n">
        <x:f>SUMIF(Sales!$D:$D,B205,Sales!$G:$G)</x:f>
        <x:v>0</x:v>
      </x:c>
      <x:c r="J205" s="59" t="n">
        <x:f>G205+H205-I205</x:f>
        <x:v>0</x:v>
      </x:c>
      <x:c r="K205" s="58" t="n">
        <x:f>J205*E205</x:f>
        <x:v>0</x:v>
      </x:c>
      <x:c r="L205" s="59"/>
      <x:c r="M205" s="53"/>
      <x:c r="N205" s="60" t="n">
        <x:f>IFERROR(MAXIFS(Purchases!$B:$B,Purchases!$D:$D,B205),"")</x:f>
        <x:v>0</x:v>
      </x:c>
      <x:c r="O205" s="50"/>
    </x:row>
    <x:row r="206">
      <x:c r="A206" s="53"/>
      <x:c r="B206" s="53"/>
      <x:c r="C206" s="53"/>
      <x:c r="D206" s="53"/>
      <x:c r="E206" s="58"/>
      <x:c r="F206" s="58"/>
      <x:c r="G206" s="59"/>
      <x:c r="H206" s="59" t="n">
        <x:f>SUMIF(Purchases!$D:$D,B206,Purchases!$F:$F)</x:f>
        <x:v>0</x:v>
      </x:c>
      <x:c r="I206" s="59" t="n">
        <x:f>SUMIF(Sales!$D:$D,B206,Sales!$G:$G)</x:f>
        <x:v>0</x:v>
      </x:c>
      <x:c r="J206" s="59" t="n">
        <x:f>G206+H206-I206</x:f>
        <x:v>0</x:v>
      </x:c>
      <x:c r="K206" s="58" t="n">
        <x:f>J206*E206</x:f>
        <x:v>0</x:v>
      </x:c>
      <x:c r="L206" s="59"/>
      <x:c r="M206" s="53"/>
      <x:c r="N206" s="60" t="n">
        <x:f>IFERROR(MAXIFS(Purchases!$B:$B,Purchases!$D:$D,B206),"")</x:f>
        <x:v>0</x:v>
      </x:c>
      <x:c r="O206" s="50"/>
    </x:row>
    <x:row r="207">
      <x:c r="A207" s="53"/>
      <x:c r="B207" s="53"/>
      <x:c r="C207" s="53"/>
      <x:c r="D207" s="53"/>
      <x:c r="E207" s="58"/>
      <x:c r="F207" s="58"/>
      <x:c r="G207" s="59"/>
      <x:c r="H207" s="59" t="n">
        <x:f>SUMIF(Purchases!$D:$D,B207,Purchases!$F:$F)</x:f>
        <x:v>0</x:v>
      </x:c>
      <x:c r="I207" s="59" t="n">
        <x:f>SUMIF(Sales!$D:$D,B207,Sales!$G:$G)</x:f>
        <x:v>0</x:v>
      </x:c>
      <x:c r="J207" s="59" t="n">
        <x:f>G207+H207-I207</x:f>
        <x:v>0</x:v>
      </x:c>
      <x:c r="K207" s="58" t="n">
        <x:f>J207*E207</x:f>
        <x:v>0</x:v>
      </x:c>
      <x:c r="L207" s="59"/>
      <x:c r="M207" s="53"/>
      <x:c r="N207" s="60" t="n">
        <x:f>IFERROR(MAXIFS(Purchases!$B:$B,Purchases!$D:$D,B207),"")</x:f>
        <x:v>0</x:v>
      </x:c>
      <x:c r="O207" s="50"/>
    </x:row>
    <x:row r="208">
      <x:c r="A208" s="53"/>
      <x:c r="B208" s="53"/>
      <x:c r="C208" s="53"/>
      <x:c r="D208" s="53"/>
      <x:c r="E208" s="58"/>
      <x:c r="F208" s="58"/>
      <x:c r="G208" s="59"/>
      <x:c r="H208" s="59" t="n">
        <x:f>SUMIF(Purchases!$D:$D,B208,Purchases!$F:$F)</x:f>
        <x:v>0</x:v>
      </x:c>
      <x:c r="I208" s="59" t="n">
        <x:f>SUMIF(Sales!$D:$D,B208,Sales!$G:$G)</x:f>
        <x:v>0</x:v>
      </x:c>
      <x:c r="J208" s="59" t="n">
        <x:f>G208+H208-I208</x:f>
        <x:v>0</x:v>
      </x:c>
      <x:c r="K208" s="58" t="n">
        <x:f>J208*E208</x:f>
        <x:v>0</x:v>
      </x:c>
      <x:c r="L208" s="59"/>
      <x:c r="M208" s="53"/>
      <x:c r="N208" s="60" t="n">
        <x:f>IFERROR(MAXIFS(Purchases!$B:$B,Purchases!$D:$D,B208),"")</x:f>
        <x:v>0</x:v>
      </x:c>
      <x:c r="O208" s="50"/>
    </x:row>
    <x:row r="209">
      <x:c r="A209" s="53"/>
      <x:c r="B209" s="53"/>
      <x:c r="C209" s="53"/>
      <x:c r="D209" s="53"/>
      <x:c r="E209" s="58"/>
      <x:c r="F209" s="58"/>
      <x:c r="G209" s="59"/>
      <x:c r="H209" s="59" t="n">
        <x:f>SUMIF(Purchases!$D:$D,B209,Purchases!$F:$F)</x:f>
        <x:v>0</x:v>
      </x:c>
      <x:c r="I209" s="59" t="n">
        <x:f>SUMIF(Sales!$D:$D,B209,Sales!$G:$G)</x:f>
        <x:v>0</x:v>
      </x:c>
      <x:c r="J209" s="59" t="n">
        <x:f>G209+H209-I209</x:f>
        <x:v>0</x:v>
      </x:c>
      <x:c r="K209" s="58" t="n">
        <x:f>J209*E209</x:f>
        <x:v>0</x:v>
      </x:c>
      <x:c r="L209" s="59"/>
      <x:c r="M209" s="53"/>
      <x:c r="N209" s="60" t="n">
        <x:f>IFERROR(MAXIFS(Purchases!$B:$B,Purchases!$D:$D,B209),"")</x:f>
        <x:v>0</x:v>
      </x:c>
      <x:c r="O209" s="50"/>
    </x:row>
    <x:row r="210">
      <x:c r="A210" s="53"/>
      <x:c r="B210" s="53"/>
      <x:c r="C210" s="53"/>
      <x:c r="D210" s="53"/>
      <x:c r="E210" s="58"/>
      <x:c r="F210" s="58"/>
      <x:c r="G210" s="59"/>
      <x:c r="H210" s="59" t="n">
        <x:f>SUMIF(Purchases!$D:$D,B210,Purchases!$F:$F)</x:f>
        <x:v>0</x:v>
      </x:c>
      <x:c r="I210" s="59" t="n">
        <x:f>SUMIF(Sales!$D:$D,B210,Sales!$G:$G)</x:f>
        <x:v>0</x:v>
      </x:c>
      <x:c r="J210" s="59" t="n">
        <x:f>G210+H210-I210</x:f>
        <x:v>0</x:v>
      </x:c>
      <x:c r="K210" s="58" t="n">
        <x:f>J210*E210</x:f>
        <x:v>0</x:v>
      </x:c>
      <x:c r="L210" s="59"/>
      <x:c r="M210" s="53"/>
      <x:c r="N210" s="60" t="n">
        <x:f>IFERROR(MAXIFS(Purchases!$B:$B,Purchases!$D:$D,B210),"")</x:f>
        <x:v>0</x:v>
      </x:c>
      <x:c r="O210" s="50"/>
    </x:row>
    <x:row r="211">
      <x:c r="A211" s="53"/>
      <x:c r="B211" s="53"/>
      <x:c r="C211" s="53"/>
      <x:c r="D211" s="53"/>
      <x:c r="E211" s="58"/>
      <x:c r="F211" s="58"/>
      <x:c r="G211" s="59"/>
      <x:c r="H211" s="59" t="n">
        <x:f>SUMIF(Purchases!$D:$D,B211,Purchases!$F:$F)</x:f>
        <x:v>0</x:v>
      </x:c>
      <x:c r="I211" s="59" t="n">
        <x:f>SUMIF(Sales!$D:$D,B211,Sales!$G:$G)</x:f>
        <x:v>0</x:v>
      </x:c>
      <x:c r="J211" s="59" t="n">
        <x:f>G211+H211-I211</x:f>
        <x:v>0</x:v>
      </x:c>
      <x:c r="K211" s="58" t="n">
        <x:f>J211*E211</x:f>
        <x:v>0</x:v>
      </x:c>
      <x:c r="L211" s="59"/>
      <x:c r="M211" s="53"/>
      <x:c r="N211" s="60" t="n">
        <x:f>IFERROR(MAXIFS(Purchases!$B:$B,Purchases!$D:$D,B211),"")</x:f>
        <x:v>0</x:v>
      </x:c>
      <x:c r="O211" s="50"/>
    </x:row>
    <x:row r="212">
      <x:c r="A212" s="53"/>
      <x:c r="B212" s="53"/>
      <x:c r="C212" s="53"/>
      <x:c r="D212" s="53"/>
      <x:c r="E212" s="58"/>
      <x:c r="F212" s="58"/>
      <x:c r="G212" s="59"/>
      <x:c r="H212" s="59" t="n">
        <x:f>SUMIF(Purchases!$D:$D,B212,Purchases!$F:$F)</x:f>
        <x:v>0</x:v>
      </x:c>
      <x:c r="I212" s="59" t="n">
        <x:f>SUMIF(Sales!$D:$D,B212,Sales!$G:$G)</x:f>
        <x:v>0</x:v>
      </x:c>
      <x:c r="J212" s="59" t="n">
        <x:f>G212+H212-I212</x:f>
        <x:v>0</x:v>
      </x:c>
      <x:c r="K212" s="58" t="n">
        <x:f>J212*E212</x:f>
        <x:v>0</x:v>
      </x:c>
      <x:c r="L212" s="59"/>
      <x:c r="M212" s="53"/>
      <x:c r="N212" s="60" t="n">
        <x:f>IFERROR(MAXIFS(Purchases!$B:$B,Purchases!$D:$D,B212),"")</x:f>
        <x:v>0</x:v>
      </x:c>
      <x:c r="O212" s="50"/>
    </x:row>
    <x:row r="213">
      <x:c r="A213" s="53"/>
      <x:c r="B213" s="53"/>
      <x:c r="C213" s="53"/>
      <x:c r="D213" s="53"/>
      <x:c r="E213" s="58"/>
      <x:c r="F213" s="58"/>
      <x:c r="G213" s="59"/>
      <x:c r="H213" s="59" t="n">
        <x:f>SUMIF(Purchases!$D:$D,B213,Purchases!$F:$F)</x:f>
        <x:v>0</x:v>
      </x:c>
      <x:c r="I213" s="59" t="n">
        <x:f>SUMIF(Sales!$D:$D,B213,Sales!$G:$G)</x:f>
        <x:v>0</x:v>
      </x:c>
      <x:c r="J213" s="59" t="n">
        <x:f>G213+H213-I213</x:f>
        <x:v>0</x:v>
      </x:c>
      <x:c r="K213" s="58" t="n">
        <x:f>J213*E213</x:f>
        <x:v>0</x:v>
      </x:c>
      <x:c r="L213" s="59"/>
      <x:c r="M213" s="53"/>
      <x:c r="N213" s="60" t="n">
        <x:f>IFERROR(MAXIFS(Purchases!$B:$B,Purchases!$D:$D,B213),"")</x:f>
        <x:v>0</x:v>
      </x:c>
      <x:c r="O213" s="50"/>
    </x:row>
    <x:row r="214">
      <x:c r="A214" s="53"/>
      <x:c r="B214" s="53"/>
      <x:c r="C214" s="53"/>
      <x:c r="D214" s="53"/>
      <x:c r="E214" s="58"/>
      <x:c r="F214" s="58"/>
      <x:c r="G214" s="59"/>
      <x:c r="H214" s="59" t="n">
        <x:f>SUMIF(Purchases!$D:$D,B214,Purchases!$F:$F)</x:f>
        <x:v>0</x:v>
      </x:c>
      <x:c r="I214" s="59" t="n">
        <x:f>SUMIF(Sales!$D:$D,B214,Sales!$G:$G)</x:f>
        <x:v>0</x:v>
      </x:c>
      <x:c r="J214" s="59" t="n">
        <x:f>G214+H214-I214</x:f>
        <x:v>0</x:v>
      </x:c>
      <x:c r="K214" s="58" t="n">
        <x:f>J214*E214</x:f>
        <x:v>0</x:v>
      </x:c>
      <x:c r="L214" s="59"/>
      <x:c r="M214" s="53"/>
      <x:c r="N214" s="60" t="n">
        <x:f>IFERROR(MAXIFS(Purchases!$B:$B,Purchases!$D:$D,B214),"")</x:f>
        <x:v>0</x:v>
      </x:c>
      <x:c r="O214" s="50"/>
    </x:row>
    <x:row r="215">
      <x:c r="A215" s="53"/>
      <x:c r="B215" s="53"/>
      <x:c r="C215" s="53"/>
      <x:c r="D215" s="53"/>
      <x:c r="E215" s="58"/>
      <x:c r="F215" s="58"/>
      <x:c r="G215" s="59"/>
      <x:c r="H215" s="59" t="n">
        <x:f>SUMIF(Purchases!$D:$D,B215,Purchases!$F:$F)</x:f>
        <x:v>0</x:v>
      </x:c>
      <x:c r="I215" s="59" t="n">
        <x:f>SUMIF(Sales!$D:$D,B215,Sales!$G:$G)</x:f>
        <x:v>0</x:v>
      </x:c>
      <x:c r="J215" s="59" t="n">
        <x:f>G215+H215-I215</x:f>
        <x:v>0</x:v>
      </x:c>
      <x:c r="K215" s="58" t="n">
        <x:f>J215*E215</x:f>
        <x:v>0</x:v>
      </x:c>
      <x:c r="L215" s="59"/>
      <x:c r="M215" s="53"/>
      <x:c r="N215" s="60" t="n">
        <x:f>IFERROR(MAXIFS(Purchases!$B:$B,Purchases!$D:$D,B215),"")</x:f>
        <x:v>0</x:v>
      </x:c>
      <x:c r="O215" s="50"/>
    </x:row>
    <x:row r="216">
      <x:c r="A216" s="53"/>
      <x:c r="B216" s="53"/>
      <x:c r="C216" s="53"/>
      <x:c r="D216" s="53"/>
      <x:c r="E216" s="58"/>
      <x:c r="F216" s="58"/>
      <x:c r="G216" s="59"/>
      <x:c r="H216" s="59" t="n">
        <x:f>SUMIF(Purchases!$D:$D,B216,Purchases!$F:$F)</x:f>
        <x:v>0</x:v>
      </x:c>
      <x:c r="I216" s="59" t="n">
        <x:f>SUMIF(Sales!$D:$D,B216,Sales!$G:$G)</x:f>
        <x:v>0</x:v>
      </x:c>
      <x:c r="J216" s="59" t="n">
        <x:f>G216+H216-I216</x:f>
        <x:v>0</x:v>
      </x:c>
      <x:c r="K216" s="58" t="n">
        <x:f>J216*E216</x:f>
        <x:v>0</x:v>
      </x:c>
      <x:c r="L216" s="59"/>
      <x:c r="M216" s="53"/>
      <x:c r="N216" s="60" t="n">
        <x:f>IFERROR(MAXIFS(Purchases!$B:$B,Purchases!$D:$D,B216),"")</x:f>
        <x:v>0</x:v>
      </x:c>
      <x:c r="O216" s="50"/>
    </x:row>
    <x:row r="217">
      <x:c r="A217" s="53"/>
      <x:c r="B217" s="53"/>
      <x:c r="C217" s="53"/>
      <x:c r="D217" s="53"/>
      <x:c r="E217" s="58"/>
      <x:c r="F217" s="58"/>
      <x:c r="G217" s="59"/>
      <x:c r="H217" s="59" t="n">
        <x:f>SUMIF(Purchases!$D:$D,B217,Purchases!$F:$F)</x:f>
        <x:v>0</x:v>
      </x:c>
      <x:c r="I217" s="59" t="n">
        <x:f>SUMIF(Sales!$D:$D,B217,Sales!$G:$G)</x:f>
        <x:v>0</x:v>
      </x:c>
      <x:c r="J217" s="59" t="n">
        <x:f>G217+H217-I217</x:f>
        <x:v>0</x:v>
      </x:c>
      <x:c r="K217" s="58" t="n">
        <x:f>J217*E217</x:f>
        <x:v>0</x:v>
      </x:c>
      <x:c r="L217" s="59"/>
      <x:c r="M217" s="53"/>
      <x:c r="N217" s="60" t="n">
        <x:f>IFERROR(MAXIFS(Purchases!$B:$B,Purchases!$D:$D,B217),"")</x:f>
        <x:v>0</x:v>
      </x:c>
      <x:c r="O217" s="50"/>
    </x:row>
    <x:row r="218">
      <x:c r="A218" s="53"/>
      <x:c r="B218" s="53"/>
      <x:c r="C218" s="53"/>
      <x:c r="D218" s="53"/>
      <x:c r="E218" s="58"/>
      <x:c r="F218" s="58"/>
      <x:c r="G218" s="59"/>
      <x:c r="H218" s="59" t="n">
        <x:f>SUMIF(Purchases!$D:$D,B218,Purchases!$F:$F)</x:f>
        <x:v>0</x:v>
      </x:c>
      <x:c r="I218" s="59" t="n">
        <x:f>SUMIF(Sales!$D:$D,B218,Sales!$G:$G)</x:f>
        <x:v>0</x:v>
      </x:c>
      <x:c r="J218" s="59" t="n">
        <x:f>G218+H218-I218</x:f>
        <x:v>0</x:v>
      </x:c>
      <x:c r="K218" s="58" t="n">
        <x:f>J218*E218</x:f>
        <x:v>0</x:v>
      </x:c>
      <x:c r="L218" s="59"/>
      <x:c r="M218" s="53"/>
      <x:c r="N218" s="60" t="n">
        <x:f>IFERROR(MAXIFS(Purchases!$B:$B,Purchases!$D:$D,B218),"")</x:f>
        <x:v>0</x:v>
      </x:c>
      <x:c r="O218" s="50"/>
    </x:row>
    <x:row r="219">
      <x:c r="A219" s="53"/>
      <x:c r="B219" s="53"/>
      <x:c r="C219" s="53"/>
      <x:c r="D219" s="53"/>
      <x:c r="E219" s="58"/>
      <x:c r="F219" s="58"/>
      <x:c r="G219" s="59"/>
      <x:c r="H219" s="59" t="n">
        <x:f>SUMIF(Purchases!$D:$D,B219,Purchases!$F:$F)</x:f>
        <x:v>0</x:v>
      </x:c>
      <x:c r="I219" s="59" t="n">
        <x:f>SUMIF(Sales!$D:$D,B219,Sales!$G:$G)</x:f>
        <x:v>0</x:v>
      </x:c>
      <x:c r="J219" s="59" t="n">
        <x:f>G219+H219-I219</x:f>
        <x:v>0</x:v>
      </x:c>
      <x:c r="K219" s="58" t="n">
        <x:f>J219*E219</x:f>
        <x:v>0</x:v>
      </x:c>
      <x:c r="L219" s="59"/>
      <x:c r="M219" s="53"/>
      <x:c r="N219" s="60" t="n">
        <x:f>IFERROR(MAXIFS(Purchases!$B:$B,Purchases!$D:$D,B219),"")</x:f>
        <x:v>0</x:v>
      </x:c>
      <x:c r="O219" s="50"/>
    </x:row>
    <x:row r="220">
      <x:c r="A220" s="53"/>
      <x:c r="B220" s="53"/>
      <x:c r="C220" s="53"/>
      <x:c r="D220" s="53"/>
      <x:c r="E220" s="58"/>
      <x:c r="F220" s="58"/>
      <x:c r="G220" s="59"/>
      <x:c r="H220" s="59" t="n">
        <x:f>SUMIF(Purchases!$D:$D,B220,Purchases!$F:$F)</x:f>
        <x:v>0</x:v>
      </x:c>
      <x:c r="I220" s="59" t="n">
        <x:f>SUMIF(Sales!$D:$D,B220,Sales!$G:$G)</x:f>
        <x:v>0</x:v>
      </x:c>
      <x:c r="J220" s="59" t="n">
        <x:f>G220+H220-I220</x:f>
        <x:v>0</x:v>
      </x:c>
      <x:c r="K220" s="58" t="n">
        <x:f>J220*E220</x:f>
        <x:v>0</x:v>
      </x:c>
      <x:c r="L220" s="59"/>
      <x:c r="M220" s="53"/>
      <x:c r="N220" s="60" t="n">
        <x:f>IFERROR(MAXIFS(Purchases!$B:$B,Purchases!$D:$D,B220),"")</x:f>
        <x:v>0</x:v>
      </x:c>
      <x:c r="O220" s="50"/>
    </x:row>
    <x:row r="221">
      <x:c r="A221" s="53"/>
      <x:c r="B221" s="53"/>
      <x:c r="C221" s="53"/>
      <x:c r="D221" s="53"/>
      <x:c r="E221" s="58"/>
      <x:c r="F221" s="58"/>
      <x:c r="G221" s="59"/>
      <x:c r="H221" s="59" t="n">
        <x:f>SUMIF(Purchases!$D:$D,B221,Purchases!$F:$F)</x:f>
        <x:v>0</x:v>
      </x:c>
      <x:c r="I221" s="59" t="n">
        <x:f>SUMIF(Sales!$D:$D,B221,Sales!$G:$G)</x:f>
        <x:v>0</x:v>
      </x:c>
      <x:c r="J221" s="59" t="n">
        <x:f>G221+H221-I221</x:f>
        <x:v>0</x:v>
      </x:c>
      <x:c r="K221" s="58" t="n">
        <x:f>J221*E221</x:f>
        <x:v>0</x:v>
      </x:c>
      <x:c r="L221" s="59"/>
      <x:c r="M221" s="53"/>
      <x:c r="N221" s="60" t="n">
        <x:f>IFERROR(MAXIFS(Purchases!$B:$B,Purchases!$D:$D,B221),"")</x:f>
        <x:v>0</x:v>
      </x:c>
      <x:c r="O221" s="50"/>
    </x:row>
    <x:row r="222">
      <x:c r="A222" s="53"/>
      <x:c r="B222" s="53"/>
      <x:c r="C222" s="53"/>
      <x:c r="D222" s="53"/>
      <x:c r="E222" s="58"/>
      <x:c r="F222" s="58"/>
      <x:c r="G222" s="59"/>
      <x:c r="H222" s="59" t="n">
        <x:f>SUMIF(Purchases!$D:$D,B222,Purchases!$F:$F)</x:f>
        <x:v>0</x:v>
      </x:c>
      <x:c r="I222" s="59" t="n">
        <x:f>SUMIF(Sales!$D:$D,B222,Sales!$G:$G)</x:f>
        <x:v>0</x:v>
      </x:c>
      <x:c r="J222" s="59" t="n">
        <x:f>G222+H222-I222</x:f>
        <x:v>0</x:v>
      </x:c>
      <x:c r="K222" s="58" t="n">
        <x:f>J222*E222</x:f>
        <x:v>0</x:v>
      </x:c>
      <x:c r="L222" s="59"/>
      <x:c r="M222" s="53"/>
      <x:c r="N222" s="60" t="n">
        <x:f>IFERROR(MAXIFS(Purchases!$B:$B,Purchases!$D:$D,B222),"")</x:f>
        <x:v>0</x:v>
      </x:c>
      <x:c r="O222" s="50"/>
    </x:row>
    <x:row r="223">
      <x:c r="A223" s="53"/>
      <x:c r="B223" s="53"/>
      <x:c r="C223" s="53"/>
      <x:c r="D223" s="53"/>
      <x:c r="E223" s="58"/>
      <x:c r="F223" s="58"/>
      <x:c r="G223" s="59"/>
      <x:c r="H223" s="59" t="n">
        <x:f>SUMIF(Purchases!$D:$D,B223,Purchases!$F:$F)</x:f>
        <x:v>0</x:v>
      </x:c>
      <x:c r="I223" s="59" t="n">
        <x:f>SUMIF(Sales!$D:$D,B223,Sales!$G:$G)</x:f>
        <x:v>0</x:v>
      </x:c>
      <x:c r="J223" s="59" t="n">
        <x:f>G223+H223-I223</x:f>
        <x:v>0</x:v>
      </x:c>
      <x:c r="K223" s="58" t="n">
        <x:f>J223*E223</x:f>
        <x:v>0</x:v>
      </x:c>
      <x:c r="L223" s="59"/>
      <x:c r="M223" s="53"/>
      <x:c r="N223" s="60" t="n">
        <x:f>IFERROR(MAXIFS(Purchases!$B:$B,Purchases!$D:$D,B223),"")</x:f>
        <x:v>0</x:v>
      </x:c>
      <x:c r="O223" s="50"/>
    </x:row>
    <x:row r="224">
      <x:c r="A224" s="53"/>
      <x:c r="B224" s="53"/>
      <x:c r="C224" s="53"/>
      <x:c r="D224" s="53"/>
      <x:c r="E224" s="58"/>
      <x:c r="F224" s="58"/>
      <x:c r="G224" s="59"/>
      <x:c r="H224" s="59" t="n">
        <x:f>SUMIF(Purchases!$D:$D,B224,Purchases!$F:$F)</x:f>
        <x:v>0</x:v>
      </x:c>
      <x:c r="I224" s="59" t="n">
        <x:f>SUMIF(Sales!$D:$D,B224,Sales!$G:$G)</x:f>
        <x:v>0</x:v>
      </x:c>
      <x:c r="J224" s="59" t="n">
        <x:f>G224+H224-I224</x:f>
        <x:v>0</x:v>
      </x:c>
      <x:c r="K224" s="58" t="n">
        <x:f>J224*E224</x:f>
        <x:v>0</x:v>
      </x:c>
      <x:c r="L224" s="59"/>
      <x:c r="M224" s="53"/>
      <x:c r="N224" s="60" t="n">
        <x:f>IFERROR(MAXIFS(Purchases!$B:$B,Purchases!$D:$D,B224),"")</x:f>
        <x:v>0</x:v>
      </x:c>
      <x:c r="O224" s="50"/>
    </x:row>
    <x:row r="225">
      <x:c r="A225" s="53"/>
      <x:c r="B225" s="53"/>
      <x:c r="C225" s="53"/>
      <x:c r="D225" s="53"/>
      <x:c r="E225" s="58"/>
      <x:c r="F225" s="58"/>
      <x:c r="G225" s="59"/>
      <x:c r="H225" s="59" t="n">
        <x:f>SUMIF(Purchases!$D:$D,B225,Purchases!$F:$F)</x:f>
        <x:v>0</x:v>
      </x:c>
      <x:c r="I225" s="59" t="n">
        <x:f>SUMIF(Sales!$D:$D,B225,Sales!$G:$G)</x:f>
        <x:v>0</x:v>
      </x:c>
      <x:c r="J225" s="59" t="n">
        <x:f>G225+H225-I225</x:f>
        <x:v>0</x:v>
      </x:c>
      <x:c r="K225" s="58" t="n">
        <x:f>J225*E225</x:f>
        <x:v>0</x:v>
      </x:c>
      <x:c r="L225" s="59"/>
      <x:c r="M225" s="53"/>
      <x:c r="N225" s="60" t="n">
        <x:f>IFERROR(MAXIFS(Purchases!$B:$B,Purchases!$D:$D,B225),"")</x:f>
        <x:v>0</x:v>
      </x:c>
      <x:c r="O225" s="50"/>
    </x:row>
    <x:row r="226">
      <x:c r="A226" s="53"/>
      <x:c r="B226" s="53"/>
      <x:c r="C226" s="53"/>
      <x:c r="D226" s="53"/>
      <x:c r="E226" s="58"/>
      <x:c r="F226" s="58"/>
      <x:c r="G226" s="59"/>
      <x:c r="H226" s="59" t="n">
        <x:f>SUMIF(Purchases!$D:$D,B226,Purchases!$F:$F)</x:f>
        <x:v>0</x:v>
      </x:c>
      <x:c r="I226" s="59" t="n">
        <x:f>SUMIF(Sales!$D:$D,B226,Sales!$G:$G)</x:f>
        <x:v>0</x:v>
      </x:c>
      <x:c r="J226" s="59" t="n">
        <x:f>G226+H226-I226</x:f>
        <x:v>0</x:v>
      </x:c>
      <x:c r="K226" s="58" t="n">
        <x:f>J226*E226</x:f>
        <x:v>0</x:v>
      </x:c>
      <x:c r="L226" s="59"/>
      <x:c r="M226" s="53"/>
      <x:c r="N226" s="60" t="n">
        <x:f>IFERROR(MAXIFS(Purchases!$B:$B,Purchases!$D:$D,B226),"")</x:f>
        <x:v>0</x:v>
      </x:c>
      <x:c r="O226" s="50"/>
    </x:row>
    <x:row r="227">
      <x:c r="A227" s="53"/>
      <x:c r="B227" s="53"/>
      <x:c r="C227" s="53"/>
      <x:c r="D227" s="53"/>
      <x:c r="E227" s="58"/>
      <x:c r="F227" s="58"/>
      <x:c r="G227" s="59"/>
      <x:c r="H227" s="59" t="n">
        <x:f>SUMIF(Purchases!$D:$D,B227,Purchases!$F:$F)</x:f>
        <x:v>0</x:v>
      </x:c>
      <x:c r="I227" s="59" t="n">
        <x:f>SUMIF(Sales!$D:$D,B227,Sales!$G:$G)</x:f>
        <x:v>0</x:v>
      </x:c>
      <x:c r="J227" s="59" t="n">
        <x:f>G227+H227-I227</x:f>
        <x:v>0</x:v>
      </x:c>
      <x:c r="K227" s="58" t="n">
        <x:f>J227*E227</x:f>
        <x:v>0</x:v>
      </x:c>
      <x:c r="L227" s="59"/>
      <x:c r="M227" s="53"/>
      <x:c r="N227" s="60" t="n">
        <x:f>IFERROR(MAXIFS(Purchases!$B:$B,Purchases!$D:$D,B227),"")</x:f>
        <x:v>0</x:v>
      </x:c>
      <x:c r="O227" s="50"/>
    </x:row>
    <x:row r="228">
      <x:c r="A228" s="53"/>
      <x:c r="B228" s="53"/>
      <x:c r="C228" s="53"/>
      <x:c r="D228" s="53"/>
      <x:c r="E228" s="58"/>
      <x:c r="F228" s="58"/>
      <x:c r="G228" s="59"/>
      <x:c r="H228" s="59" t="n">
        <x:f>SUMIF(Purchases!$D:$D,B228,Purchases!$F:$F)</x:f>
        <x:v>0</x:v>
      </x:c>
      <x:c r="I228" s="59" t="n">
        <x:f>SUMIF(Sales!$D:$D,B228,Sales!$G:$G)</x:f>
        <x:v>0</x:v>
      </x:c>
      <x:c r="J228" s="59" t="n">
        <x:f>G228+H228-I228</x:f>
        <x:v>0</x:v>
      </x:c>
      <x:c r="K228" s="58" t="n">
        <x:f>J228*E228</x:f>
        <x:v>0</x:v>
      </x:c>
      <x:c r="L228" s="59"/>
      <x:c r="M228" s="53"/>
      <x:c r="N228" s="60" t="n">
        <x:f>IFERROR(MAXIFS(Purchases!$B:$B,Purchases!$D:$D,B228),"")</x:f>
        <x:v>0</x:v>
      </x:c>
      <x:c r="O228" s="50"/>
    </x:row>
    <x:row r="229">
      <x:c r="A229" s="53"/>
      <x:c r="B229" s="53"/>
      <x:c r="C229" s="53"/>
      <x:c r="D229" s="53"/>
      <x:c r="E229" s="58"/>
      <x:c r="F229" s="58"/>
      <x:c r="G229" s="59"/>
      <x:c r="H229" s="59" t="n">
        <x:f>SUMIF(Purchases!$D:$D,B229,Purchases!$F:$F)</x:f>
        <x:v>0</x:v>
      </x:c>
      <x:c r="I229" s="59" t="n">
        <x:f>SUMIF(Sales!$D:$D,B229,Sales!$G:$G)</x:f>
        <x:v>0</x:v>
      </x:c>
      <x:c r="J229" s="59" t="n">
        <x:f>G229+H229-I229</x:f>
        <x:v>0</x:v>
      </x:c>
      <x:c r="K229" s="58" t="n">
        <x:f>J229*E229</x:f>
        <x:v>0</x:v>
      </x:c>
      <x:c r="L229" s="59"/>
      <x:c r="M229" s="53"/>
      <x:c r="N229" s="60" t="n">
        <x:f>IFERROR(MAXIFS(Purchases!$B:$B,Purchases!$D:$D,B229),"")</x:f>
        <x:v>0</x:v>
      </x:c>
      <x:c r="O229" s="50"/>
    </x:row>
    <x:row r="230">
      <x:c r="A230" s="53"/>
      <x:c r="B230" s="53"/>
      <x:c r="C230" s="53"/>
      <x:c r="D230" s="53"/>
      <x:c r="E230" s="58"/>
      <x:c r="F230" s="58"/>
      <x:c r="G230" s="59"/>
      <x:c r="H230" s="59" t="n">
        <x:f>SUMIF(Purchases!$D:$D,B230,Purchases!$F:$F)</x:f>
        <x:v>0</x:v>
      </x:c>
      <x:c r="I230" s="59" t="n">
        <x:f>SUMIF(Sales!$D:$D,B230,Sales!$G:$G)</x:f>
        <x:v>0</x:v>
      </x:c>
      <x:c r="J230" s="59" t="n">
        <x:f>G230+H230-I230</x:f>
        <x:v>0</x:v>
      </x:c>
      <x:c r="K230" s="58" t="n">
        <x:f>J230*E230</x:f>
        <x:v>0</x:v>
      </x:c>
      <x:c r="L230" s="59"/>
      <x:c r="M230" s="53"/>
      <x:c r="N230" s="60" t="n">
        <x:f>IFERROR(MAXIFS(Purchases!$B:$B,Purchases!$D:$D,B230),"")</x:f>
        <x:v>0</x:v>
      </x:c>
      <x:c r="O230" s="50"/>
    </x:row>
    <x:row r="231">
      <x:c r="A231" s="53"/>
      <x:c r="B231" s="53"/>
      <x:c r="C231" s="53"/>
      <x:c r="D231" s="53"/>
      <x:c r="E231" s="58"/>
      <x:c r="F231" s="58"/>
      <x:c r="G231" s="59"/>
      <x:c r="H231" s="59" t="n">
        <x:f>SUMIF(Purchases!$D:$D,B231,Purchases!$F:$F)</x:f>
        <x:v>0</x:v>
      </x:c>
      <x:c r="I231" s="59" t="n">
        <x:f>SUMIF(Sales!$D:$D,B231,Sales!$G:$G)</x:f>
        <x:v>0</x:v>
      </x:c>
      <x:c r="J231" s="59" t="n">
        <x:f>G231+H231-I231</x:f>
        <x:v>0</x:v>
      </x:c>
      <x:c r="K231" s="58" t="n">
        <x:f>J231*E231</x:f>
        <x:v>0</x:v>
      </x:c>
      <x:c r="L231" s="59"/>
      <x:c r="M231" s="53"/>
      <x:c r="N231" s="60" t="n">
        <x:f>IFERROR(MAXIFS(Purchases!$B:$B,Purchases!$D:$D,B231),"")</x:f>
        <x:v>0</x:v>
      </x:c>
      <x:c r="O231" s="50"/>
    </x:row>
    <x:row r="232">
      <x:c r="A232" s="53"/>
      <x:c r="B232" s="53"/>
      <x:c r="C232" s="53"/>
      <x:c r="D232" s="53"/>
      <x:c r="E232" s="58"/>
      <x:c r="F232" s="58"/>
      <x:c r="G232" s="59"/>
      <x:c r="H232" s="59" t="n">
        <x:f>SUMIF(Purchases!$D:$D,B232,Purchases!$F:$F)</x:f>
        <x:v>0</x:v>
      </x:c>
      <x:c r="I232" s="59" t="n">
        <x:f>SUMIF(Sales!$D:$D,B232,Sales!$G:$G)</x:f>
        <x:v>0</x:v>
      </x:c>
      <x:c r="J232" s="59" t="n">
        <x:f>G232+H232-I232</x:f>
        <x:v>0</x:v>
      </x:c>
      <x:c r="K232" s="58" t="n">
        <x:f>J232*E232</x:f>
        <x:v>0</x:v>
      </x:c>
      <x:c r="L232" s="59"/>
      <x:c r="M232" s="53"/>
      <x:c r="N232" s="60" t="n">
        <x:f>IFERROR(MAXIFS(Purchases!$B:$B,Purchases!$D:$D,B232),"")</x:f>
        <x:v>0</x:v>
      </x:c>
      <x:c r="O232" s="50"/>
    </x:row>
    <x:row r="233">
      <x:c r="A233" s="53"/>
      <x:c r="B233" s="53"/>
      <x:c r="C233" s="53"/>
      <x:c r="D233" s="53"/>
      <x:c r="E233" s="58"/>
      <x:c r="F233" s="58"/>
      <x:c r="G233" s="59"/>
      <x:c r="H233" s="59" t="n">
        <x:f>SUMIF(Purchases!$D:$D,B233,Purchases!$F:$F)</x:f>
        <x:v>0</x:v>
      </x:c>
      <x:c r="I233" s="59" t="n">
        <x:f>SUMIF(Sales!$D:$D,B233,Sales!$G:$G)</x:f>
        <x:v>0</x:v>
      </x:c>
      <x:c r="J233" s="59" t="n">
        <x:f>G233+H233-I233</x:f>
        <x:v>0</x:v>
      </x:c>
      <x:c r="K233" s="58" t="n">
        <x:f>J233*E233</x:f>
        <x:v>0</x:v>
      </x:c>
      <x:c r="L233" s="59"/>
      <x:c r="M233" s="53"/>
      <x:c r="N233" s="60" t="n">
        <x:f>IFERROR(MAXIFS(Purchases!$B:$B,Purchases!$D:$D,B233),"")</x:f>
        <x:v>0</x:v>
      </x:c>
      <x:c r="O233" s="50"/>
    </x:row>
    <x:row r="234">
      <x:c r="A234" s="53"/>
      <x:c r="B234" s="53"/>
      <x:c r="C234" s="53"/>
      <x:c r="D234" s="53"/>
      <x:c r="E234" s="58"/>
      <x:c r="F234" s="58"/>
      <x:c r="G234" s="59"/>
      <x:c r="H234" s="59" t="n">
        <x:f>SUMIF(Purchases!$D:$D,B234,Purchases!$F:$F)</x:f>
        <x:v>0</x:v>
      </x:c>
      <x:c r="I234" s="59" t="n">
        <x:f>SUMIF(Sales!$D:$D,B234,Sales!$G:$G)</x:f>
        <x:v>0</x:v>
      </x:c>
      <x:c r="J234" s="59" t="n">
        <x:f>G234+H234-I234</x:f>
        <x:v>0</x:v>
      </x:c>
      <x:c r="K234" s="58" t="n">
        <x:f>J234*E234</x:f>
        <x:v>0</x:v>
      </x:c>
      <x:c r="L234" s="59"/>
      <x:c r="M234" s="53"/>
      <x:c r="N234" s="60" t="n">
        <x:f>IFERROR(MAXIFS(Purchases!$B:$B,Purchases!$D:$D,B234),"")</x:f>
        <x:v>0</x:v>
      </x:c>
      <x:c r="O234" s="50"/>
    </x:row>
    <x:row r="235">
      <x:c r="A235" s="53"/>
      <x:c r="B235" s="53"/>
      <x:c r="C235" s="53"/>
      <x:c r="D235" s="53"/>
      <x:c r="E235" s="58"/>
      <x:c r="F235" s="58"/>
      <x:c r="G235" s="59"/>
      <x:c r="H235" s="59" t="n">
        <x:f>SUMIF(Purchases!$D:$D,B235,Purchases!$F:$F)</x:f>
        <x:v>0</x:v>
      </x:c>
      <x:c r="I235" s="59" t="n">
        <x:f>SUMIF(Sales!$D:$D,B235,Sales!$G:$G)</x:f>
        <x:v>0</x:v>
      </x:c>
      <x:c r="J235" s="59" t="n">
        <x:f>G235+H235-I235</x:f>
        <x:v>0</x:v>
      </x:c>
      <x:c r="K235" s="58" t="n">
        <x:f>J235*E235</x:f>
        <x:v>0</x:v>
      </x:c>
      <x:c r="L235" s="59"/>
      <x:c r="M235" s="53"/>
      <x:c r="N235" s="60" t="n">
        <x:f>IFERROR(MAXIFS(Purchases!$B:$B,Purchases!$D:$D,B235),"")</x:f>
        <x:v>0</x:v>
      </x:c>
      <x:c r="O235" s="50"/>
    </x:row>
    <x:row r="236">
      <x:c r="A236" s="53"/>
      <x:c r="B236" s="53"/>
      <x:c r="C236" s="53"/>
      <x:c r="D236" s="53"/>
      <x:c r="E236" s="58"/>
      <x:c r="F236" s="58"/>
      <x:c r="G236" s="59"/>
      <x:c r="H236" s="59" t="n">
        <x:f>SUMIF(Purchases!$D:$D,B236,Purchases!$F:$F)</x:f>
        <x:v>0</x:v>
      </x:c>
      <x:c r="I236" s="59" t="n">
        <x:f>SUMIF(Sales!$D:$D,B236,Sales!$G:$G)</x:f>
        <x:v>0</x:v>
      </x:c>
      <x:c r="J236" s="59" t="n">
        <x:f>G236+H236-I236</x:f>
        <x:v>0</x:v>
      </x:c>
      <x:c r="K236" s="58" t="n">
        <x:f>J236*E236</x:f>
        <x:v>0</x:v>
      </x:c>
      <x:c r="L236" s="59"/>
      <x:c r="M236" s="53"/>
      <x:c r="N236" s="60" t="n">
        <x:f>IFERROR(MAXIFS(Purchases!$B:$B,Purchases!$D:$D,B236),"")</x:f>
        <x:v>0</x:v>
      </x:c>
      <x:c r="O236" s="50"/>
    </x:row>
    <x:row r="237">
      <x:c r="A237" s="53"/>
      <x:c r="B237" s="53"/>
      <x:c r="C237" s="53"/>
      <x:c r="D237" s="53"/>
      <x:c r="E237" s="58"/>
      <x:c r="F237" s="58"/>
      <x:c r="G237" s="59"/>
      <x:c r="H237" s="59" t="n">
        <x:f>SUMIF(Purchases!$D:$D,B237,Purchases!$F:$F)</x:f>
        <x:v>0</x:v>
      </x:c>
      <x:c r="I237" s="59" t="n">
        <x:f>SUMIF(Sales!$D:$D,B237,Sales!$G:$G)</x:f>
        <x:v>0</x:v>
      </x:c>
      <x:c r="J237" s="59" t="n">
        <x:f>G237+H237-I237</x:f>
        <x:v>0</x:v>
      </x:c>
      <x:c r="K237" s="58" t="n">
        <x:f>J237*E237</x:f>
        <x:v>0</x:v>
      </x:c>
      <x:c r="L237" s="59"/>
      <x:c r="M237" s="53"/>
      <x:c r="N237" s="60" t="n">
        <x:f>IFERROR(MAXIFS(Purchases!$B:$B,Purchases!$D:$D,B237),"")</x:f>
        <x:v>0</x:v>
      </x:c>
      <x:c r="O237" s="50"/>
    </x:row>
    <x:row r="238">
      <x:c r="A238" s="53"/>
      <x:c r="B238" s="53"/>
      <x:c r="C238" s="53"/>
      <x:c r="D238" s="53"/>
      <x:c r="E238" s="58"/>
      <x:c r="F238" s="58"/>
      <x:c r="G238" s="59"/>
      <x:c r="H238" s="59" t="n">
        <x:f>SUMIF(Purchases!$D:$D,B238,Purchases!$F:$F)</x:f>
        <x:v>0</x:v>
      </x:c>
      <x:c r="I238" s="59" t="n">
        <x:f>SUMIF(Sales!$D:$D,B238,Sales!$G:$G)</x:f>
        <x:v>0</x:v>
      </x:c>
      <x:c r="J238" s="59" t="n">
        <x:f>G238+H238-I238</x:f>
        <x:v>0</x:v>
      </x:c>
      <x:c r="K238" s="58" t="n">
        <x:f>J238*E238</x:f>
        <x:v>0</x:v>
      </x:c>
      <x:c r="L238" s="59"/>
      <x:c r="M238" s="53"/>
      <x:c r="N238" s="60" t="n">
        <x:f>IFERROR(MAXIFS(Purchases!$B:$B,Purchases!$D:$D,B238),"")</x:f>
        <x:v>0</x:v>
      </x:c>
      <x:c r="O238" s="50"/>
    </x:row>
    <x:row r="239">
      <x:c r="A239" s="53"/>
      <x:c r="B239" s="53"/>
      <x:c r="C239" s="53"/>
      <x:c r="D239" s="53"/>
      <x:c r="E239" s="58"/>
      <x:c r="F239" s="58"/>
      <x:c r="G239" s="59"/>
      <x:c r="H239" s="59" t="n">
        <x:f>SUMIF(Purchases!$D:$D,B239,Purchases!$F:$F)</x:f>
        <x:v>0</x:v>
      </x:c>
      <x:c r="I239" s="59" t="n">
        <x:f>SUMIF(Sales!$D:$D,B239,Sales!$G:$G)</x:f>
        <x:v>0</x:v>
      </x:c>
      <x:c r="J239" s="59" t="n">
        <x:f>G239+H239-I239</x:f>
        <x:v>0</x:v>
      </x:c>
      <x:c r="K239" s="58" t="n">
        <x:f>J239*E239</x:f>
        <x:v>0</x:v>
      </x:c>
      <x:c r="L239" s="59"/>
      <x:c r="M239" s="53"/>
      <x:c r="N239" s="60" t="n">
        <x:f>IFERROR(MAXIFS(Purchases!$B:$B,Purchases!$D:$D,B239),"")</x:f>
        <x:v>0</x:v>
      </x:c>
      <x:c r="O239" s="50"/>
    </x:row>
    <x:row r="240">
      <x:c r="A240" s="53"/>
      <x:c r="B240" s="53"/>
      <x:c r="C240" s="53"/>
      <x:c r="D240" s="53"/>
      <x:c r="E240" s="58"/>
      <x:c r="F240" s="58"/>
      <x:c r="G240" s="59"/>
      <x:c r="H240" s="59" t="n">
        <x:f>SUMIF(Purchases!$D:$D,B240,Purchases!$F:$F)</x:f>
        <x:v>0</x:v>
      </x:c>
      <x:c r="I240" s="59" t="n">
        <x:f>SUMIF(Sales!$D:$D,B240,Sales!$G:$G)</x:f>
        <x:v>0</x:v>
      </x:c>
      <x:c r="J240" s="59" t="n">
        <x:f>G240+H240-I240</x:f>
        <x:v>0</x:v>
      </x:c>
      <x:c r="K240" s="58" t="n">
        <x:f>J240*E240</x:f>
        <x:v>0</x:v>
      </x:c>
      <x:c r="L240" s="59"/>
      <x:c r="M240" s="53"/>
      <x:c r="N240" s="60" t="n">
        <x:f>IFERROR(MAXIFS(Purchases!$B:$B,Purchases!$D:$D,B240),"")</x:f>
        <x:v>0</x:v>
      </x:c>
      <x:c r="O240" s="50"/>
    </x:row>
    <x:row r="241">
      <x:c r="A241" s="53"/>
      <x:c r="B241" s="53"/>
      <x:c r="C241" s="53"/>
      <x:c r="D241" s="53"/>
      <x:c r="E241" s="58"/>
      <x:c r="F241" s="58"/>
      <x:c r="G241" s="59"/>
      <x:c r="H241" s="59" t="n">
        <x:f>SUMIF(Purchases!$D:$D,B241,Purchases!$F:$F)</x:f>
        <x:v>0</x:v>
      </x:c>
      <x:c r="I241" s="59" t="n">
        <x:f>SUMIF(Sales!$D:$D,B241,Sales!$G:$G)</x:f>
        <x:v>0</x:v>
      </x:c>
      <x:c r="J241" s="59" t="n">
        <x:f>G241+H241-I241</x:f>
        <x:v>0</x:v>
      </x:c>
      <x:c r="K241" s="58" t="n">
        <x:f>J241*E241</x:f>
        <x:v>0</x:v>
      </x:c>
      <x:c r="L241" s="59"/>
      <x:c r="M241" s="53"/>
      <x:c r="N241" s="60" t="n">
        <x:f>IFERROR(MAXIFS(Purchases!$B:$B,Purchases!$D:$D,B241),"")</x:f>
        <x:v>0</x:v>
      </x:c>
      <x:c r="O241" s="50"/>
    </x:row>
    <x:row r="242">
      <x:c r="A242" s="53"/>
      <x:c r="B242" s="53"/>
      <x:c r="C242" s="53"/>
      <x:c r="D242" s="53"/>
      <x:c r="E242" s="58"/>
      <x:c r="F242" s="58"/>
      <x:c r="G242" s="59"/>
      <x:c r="H242" s="59" t="n">
        <x:f>SUMIF(Purchases!$D:$D,B242,Purchases!$F:$F)</x:f>
        <x:v>0</x:v>
      </x:c>
      <x:c r="I242" s="59" t="n">
        <x:f>SUMIF(Sales!$D:$D,B242,Sales!$G:$G)</x:f>
        <x:v>0</x:v>
      </x:c>
      <x:c r="J242" s="59" t="n">
        <x:f>G242+H242-I242</x:f>
        <x:v>0</x:v>
      </x:c>
      <x:c r="K242" s="58" t="n">
        <x:f>J242*E242</x:f>
        <x:v>0</x:v>
      </x:c>
      <x:c r="L242" s="59"/>
      <x:c r="M242" s="53"/>
      <x:c r="N242" s="60" t="n">
        <x:f>IFERROR(MAXIFS(Purchases!$B:$B,Purchases!$D:$D,B242),"")</x:f>
        <x:v>0</x:v>
      </x:c>
      <x:c r="O242" s="50"/>
    </x:row>
    <x:row r="243">
      <x:c r="A243" s="53"/>
      <x:c r="B243" s="53"/>
      <x:c r="C243" s="53"/>
      <x:c r="D243" s="53"/>
      <x:c r="E243" s="58"/>
      <x:c r="F243" s="58"/>
      <x:c r="G243" s="59"/>
      <x:c r="H243" s="59" t="n">
        <x:f>SUMIF(Purchases!$D:$D,B243,Purchases!$F:$F)</x:f>
        <x:v>0</x:v>
      </x:c>
      <x:c r="I243" s="59" t="n">
        <x:f>SUMIF(Sales!$D:$D,B243,Sales!$G:$G)</x:f>
        <x:v>0</x:v>
      </x:c>
      <x:c r="J243" s="59" t="n">
        <x:f>G243+H243-I243</x:f>
        <x:v>0</x:v>
      </x:c>
      <x:c r="K243" s="58" t="n">
        <x:f>J243*E243</x:f>
        <x:v>0</x:v>
      </x:c>
      <x:c r="L243" s="59"/>
      <x:c r="M243" s="53"/>
      <x:c r="N243" s="60" t="n">
        <x:f>IFERROR(MAXIFS(Purchases!$B:$B,Purchases!$D:$D,B243),"")</x:f>
        <x:v>0</x:v>
      </x:c>
      <x:c r="O243" s="50"/>
    </x:row>
    <x:row r="244">
      <x:c r="A244" s="53"/>
      <x:c r="B244" s="53"/>
      <x:c r="C244" s="53"/>
      <x:c r="D244" s="53"/>
      <x:c r="E244" s="58"/>
      <x:c r="F244" s="58"/>
      <x:c r="G244" s="59"/>
      <x:c r="H244" s="59" t="n">
        <x:f>SUMIF(Purchases!$D:$D,B244,Purchases!$F:$F)</x:f>
        <x:v>0</x:v>
      </x:c>
      <x:c r="I244" s="59" t="n">
        <x:f>SUMIF(Sales!$D:$D,B244,Sales!$G:$G)</x:f>
        <x:v>0</x:v>
      </x:c>
      <x:c r="J244" s="59" t="n">
        <x:f>G244+H244-I244</x:f>
        <x:v>0</x:v>
      </x:c>
      <x:c r="K244" s="58" t="n">
        <x:f>J244*E244</x:f>
        <x:v>0</x:v>
      </x:c>
      <x:c r="L244" s="59"/>
      <x:c r="M244" s="53"/>
      <x:c r="N244" s="60" t="n">
        <x:f>IFERROR(MAXIFS(Purchases!$B:$B,Purchases!$D:$D,B244),"")</x:f>
        <x:v>0</x:v>
      </x:c>
      <x:c r="O244" s="50"/>
    </x:row>
    <x:row r="245">
      <x:c r="A245" s="53"/>
      <x:c r="B245" s="53"/>
      <x:c r="C245" s="53"/>
      <x:c r="D245" s="53"/>
      <x:c r="E245" s="58"/>
      <x:c r="F245" s="58"/>
      <x:c r="G245" s="59"/>
      <x:c r="H245" s="59" t="n">
        <x:f>SUMIF(Purchases!$D:$D,B245,Purchases!$F:$F)</x:f>
        <x:v>0</x:v>
      </x:c>
      <x:c r="I245" s="59" t="n">
        <x:f>SUMIF(Sales!$D:$D,B245,Sales!$G:$G)</x:f>
        <x:v>0</x:v>
      </x:c>
      <x:c r="J245" s="59" t="n">
        <x:f>G245+H245-I245</x:f>
        <x:v>0</x:v>
      </x:c>
      <x:c r="K245" s="58" t="n">
        <x:f>J245*E245</x:f>
        <x:v>0</x:v>
      </x:c>
      <x:c r="L245" s="59"/>
      <x:c r="M245" s="53"/>
      <x:c r="N245" s="60" t="n">
        <x:f>IFERROR(MAXIFS(Purchases!$B:$B,Purchases!$D:$D,B245),"")</x:f>
        <x:v>0</x:v>
      </x:c>
      <x:c r="O245" s="50"/>
    </x:row>
    <x:row r="246">
      <x:c r="A246" s="53"/>
      <x:c r="B246" s="53"/>
      <x:c r="C246" s="53"/>
      <x:c r="D246" s="53"/>
      <x:c r="E246" s="58"/>
      <x:c r="F246" s="58"/>
      <x:c r="G246" s="59"/>
      <x:c r="H246" s="59" t="n">
        <x:f>SUMIF(Purchases!$D:$D,B246,Purchases!$F:$F)</x:f>
        <x:v>0</x:v>
      </x:c>
      <x:c r="I246" s="59" t="n">
        <x:f>SUMIF(Sales!$D:$D,B246,Sales!$G:$G)</x:f>
        <x:v>0</x:v>
      </x:c>
      <x:c r="J246" s="59" t="n">
        <x:f>G246+H246-I246</x:f>
        <x:v>0</x:v>
      </x:c>
      <x:c r="K246" s="58" t="n">
        <x:f>J246*E246</x:f>
        <x:v>0</x:v>
      </x:c>
      <x:c r="L246" s="59"/>
      <x:c r="M246" s="53"/>
      <x:c r="N246" s="60" t="n">
        <x:f>IFERROR(MAXIFS(Purchases!$B:$B,Purchases!$D:$D,B246),"")</x:f>
        <x:v>0</x:v>
      </x:c>
      <x:c r="O246" s="50"/>
    </x:row>
    <x:row r="247">
      <x:c r="A247" s="53"/>
      <x:c r="B247" s="53"/>
      <x:c r="C247" s="53"/>
      <x:c r="D247" s="53"/>
      <x:c r="E247" s="58"/>
      <x:c r="F247" s="58"/>
      <x:c r="G247" s="59"/>
      <x:c r="H247" s="59" t="n">
        <x:f>SUMIF(Purchases!$D:$D,B247,Purchases!$F:$F)</x:f>
        <x:v>0</x:v>
      </x:c>
      <x:c r="I247" s="59" t="n">
        <x:f>SUMIF(Sales!$D:$D,B247,Sales!$G:$G)</x:f>
        <x:v>0</x:v>
      </x:c>
      <x:c r="J247" s="59" t="n">
        <x:f>G247+H247-I247</x:f>
        <x:v>0</x:v>
      </x:c>
      <x:c r="K247" s="58" t="n">
        <x:f>J247*E247</x:f>
        <x:v>0</x:v>
      </x:c>
      <x:c r="L247" s="59"/>
      <x:c r="M247" s="53"/>
      <x:c r="N247" s="60" t="n">
        <x:f>IFERROR(MAXIFS(Purchases!$B:$B,Purchases!$D:$D,B247),"")</x:f>
        <x:v>0</x:v>
      </x:c>
      <x:c r="O247" s="50"/>
    </x:row>
    <x:row r="248">
      <x:c r="A248" s="53"/>
      <x:c r="B248" s="53"/>
      <x:c r="C248" s="53"/>
      <x:c r="D248" s="53"/>
      <x:c r="E248" s="58"/>
      <x:c r="F248" s="58"/>
      <x:c r="G248" s="59"/>
      <x:c r="H248" s="59" t="n">
        <x:f>SUMIF(Purchases!$D:$D,B248,Purchases!$F:$F)</x:f>
        <x:v>0</x:v>
      </x:c>
      <x:c r="I248" s="59" t="n">
        <x:f>SUMIF(Sales!$D:$D,B248,Sales!$G:$G)</x:f>
        <x:v>0</x:v>
      </x:c>
      <x:c r="J248" s="59" t="n">
        <x:f>G248+H248-I248</x:f>
        <x:v>0</x:v>
      </x:c>
      <x:c r="K248" s="58" t="n">
        <x:f>J248*E248</x:f>
        <x:v>0</x:v>
      </x:c>
      <x:c r="L248" s="59"/>
      <x:c r="M248" s="53"/>
      <x:c r="N248" s="60" t="n">
        <x:f>IFERROR(MAXIFS(Purchases!$B:$B,Purchases!$D:$D,B248),"")</x:f>
        <x:v>0</x:v>
      </x:c>
      <x:c r="O248" s="50"/>
    </x:row>
    <x:row r="249">
      <x:c r="A249" s="53"/>
      <x:c r="B249" s="53"/>
      <x:c r="C249" s="53"/>
      <x:c r="D249" s="53"/>
      <x:c r="E249" s="58"/>
      <x:c r="F249" s="58"/>
      <x:c r="G249" s="59"/>
      <x:c r="H249" s="59" t="n">
        <x:f>SUMIF(Purchases!$D:$D,B249,Purchases!$F:$F)</x:f>
        <x:v>0</x:v>
      </x:c>
      <x:c r="I249" s="59" t="n">
        <x:f>SUMIF(Sales!$D:$D,B249,Sales!$G:$G)</x:f>
        <x:v>0</x:v>
      </x:c>
      <x:c r="J249" s="59" t="n">
        <x:f>G249+H249-I249</x:f>
        <x:v>0</x:v>
      </x:c>
      <x:c r="K249" s="58" t="n">
        <x:f>J249*E249</x:f>
        <x:v>0</x:v>
      </x:c>
      <x:c r="L249" s="59"/>
      <x:c r="M249" s="53"/>
      <x:c r="N249" s="60" t="n">
        <x:f>IFERROR(MAXIFS(Purchases!$B:$B,Purchases!$D:$D,B249),"")</x:f>
        <x:v>0</x:v>
      </x:c>
      <x:c r="O249" s="50"/>
    </x:row>
    <x:row r="250">
      <x:c r="A250" s="53"/>
      <x:c r="B250" s="53"/>
      <x:c r="C250" s="53"/>
      <x:c r="D250" s="53"/>
      <x:c r="E250" s="58"/>
      <x:c r="F250" s="58"/>
      <x:c r="G250" s="59"/>
      <x:c r="H250" s="59" t="n">
        <x:f>SUMIF(Purchases!$D:$D,B250,Purchases!$F:$F)</x:f>
        <x:v>0</x:v>
      </x:c>
      <x:c r="I250" s="59" t="n">
        <x:f>SUMIF(Sales!$D:$D,B250,Sales!$G:$G)</x:f>
        <x:v>0</x:v>
      </x:c>
      <x:c r="J250" s="59" t="n">
        <x:f>G250+H250-I250</x:f>
        <x:v>0</x:v>
      </x:c>
      <x:c r="K250" s="58" t="n">
        <x:f>J250*E250</x:f>
        <x:v>0</x:v>
      </x:c>
      <x:c r="L250" s="59"/>
      <x:c r="M250" s="53"/>
      <x:c r="N250" s="60" t="n">
        <x:f>IFERROR(MAXIFS(Purchases!$B:$B,Purchases!$D:$D,B250),"")</x:f>
        <x:v>0</x:v>
      </x:c>
      <x:c r="O250" s="50"/>
    </x:row>
    <x:row r="251">
      <x:c r="A251" s="53"/>
      <x:c r="B251" s="53"/>
      <x:c r="C251" s="53"/>
      <x:c r="D251" s="53"/>
      <x:c r="E251" s="58"/>
      <x:c r="F251" s="58"/>
      <x:c r="G251" s="59"/>
      <x:c r="H251" s="59" t="n">
        <x:f>SUMIF(Purchases!$D:$D,B251,Purchases!$F:$F)</x:f>
        <x:v>0</x:v>
      </x:c>
      <x:c r="I251" s="59" t="n">
        <x:f>SUMIF(Sales!$D:$D,B251,Sales!$G:$G)</x:f>
        <x:v>0</x:v>
      </x:c>
      <x:c r="J251" s="59" t="n">
        <x:f>G251+H251-I251</x:f>
        <x:v>0</x:v>
      </x:c>
      <x:c r="K251" s="58" t="n">
        <x:f>J251*E251</x:f>
        <x:v>0</x:v>
      </x:c>
      <x:c r="L251" s="59"/>
      <x:c r="M251" s="53"/>
      <x:c r="N251" s="60" t="n">
        <x:f>IFERROR(MAXIFS(Purchases!$B:$B,Purchases!$D:$D,B251),"")</x:f>
        <x:v>0</x:v>
      </x:c>
      <x:c r="O251" s="50"/>
    </x:row>
    <x:row r="252">
      <x:c r="A252" s="53"/>
      <x:c r="B252" s="53"/>
      <x:c r="C252" s="53"/>
      <x:c r="D252" s="53"/>
      <x:c r="E252" s="58"/>
      <x:c r="F252" s="58"/>
      <x:c r="G252" s="59"/>
      <x:c r="H252" s="59" t="n">
        <x:f>SUMIF(Purchases!$D:$D,B252,Purchases!$F:$F)</x:f>
        <x:v>0</x:v>
      </x:c>
      <x:c r="I252" s="59" t="n">
        <x:f>SUMIF(Sales!$D:$D,B252,Sales!$G:$G)</x:f>
        <x:v>0</x:v>
      </x:c>
      <x:c r="J252" s="59" t="n">
        <x:f>G252+H252-I252</x:f>
        <x:v>0</x:v>
      </x:c>
      <x:c r="K252" s="58" t="n">
        <x:f>J252*E252</x:f>
        <x:v>0</x:v>
      </x:c>
      <x:c r="L252" s="59"/>
      <x:c r="M252" s="53"/>
      <x:c r="N252" s="60" t="n">
        <x:f>IFERROR(MAXIFS(Purchases!$B:$B,Purchases!$D:$D,B252),"")</x:f>
        <x:v>0</x:v>
      </x:c>
      <x:c r="O252" s="50"/>
    </x:row>
    <x:row r="253">
      <x:c r="A253" s="53"/>
      <x:c r="B253" s="53"/>
      <x:c r="C253" s="53"/>
      <x:c r="D253" s="53"/>
      <x:c r="E253" s="58"/>
      <x:c r="F253" s="58"/>
      <x:c r="G253" s="59"/>
      <x:c r="H253" s="59" t="n">
        <x:f>SUMIF(Purchases!$D:$D,B253,Purchases!$F:$F)</x:f>
        <x:v>0</x:v>
      </x:c>
      <x:c r="I253" s="59" t="n">
        <x:f>SUMIF(Sales!$D:$D,B253,Sales!$G:$G)</x:f>
        <x:v>0</x:v>
      </x:c>
      <x:c r="J253" s="59" t="n">
        <x:f>G253+H253-I253</x:f>
        <x:v>0</x:v>
      </x:c>
      <x:c r="K253" s="58" t="n">
        <x:f>J253*E253</x:f>
        <x:v>0</x:v>
      </x:c>
      <x:c r="L253" s="59"/>
      <x:c r="M253" s="53"/>
      <x:c r="N253" s="60" t="n">
        <x:f>IFERROR(MAXIFS(Purchases!$B:$B,Purchases!$D:$D,B253),"")</x:f>
        <x:v>0</x:v>
      </x:c>
      <x:c r="O253" s="50"/>
    </x:row>
    <x:row r="254">
      <x:c r="A254" s="53"/>
      <x:c r="B254" s="53"/>
      <x:c r="C254" s="53"/>
      <x:c r="D254" s="53"/>
      <x:c r="E254" s="58"/>
      <x:c r="F254" s="58"/>
      <x:c r="G254" s="59"/>
      <x:c r="H254" s="59" t="n">
        <x:f>SUMIF(Purchases!$D:$D,B254,Purchases!$F:$F)</x:f>
        <x:v>0</x:v>
      </x:c>
      <x:c r="I254" s="59" t="n">
        <x:f>SUMIF(Sales!$D:$D,B254,Sales!$G:$G)</x:f>
        <x:v>0</x:v>
      </x:c>
      <x:c r="J254" s="59" t="n">
        <x:f>G254+H254-I254</x:f>
        <x:v>0</x:v>
      </x:c>
      <x:c r="K254" s="58" t="n">
        <x:f>J254*E254</x:f>
        <x:v>0</x:v>
      </x:c>
      <x:c r="L254" s="59"/>
      <x:c r="M254" s="53"/>
      <x:c r="N254" s="60" t="n">
        <x:f>IFERROR(MAXIFS(Purchases!$B:$B,Purchases!$D:$D,B254),"")</x:f>
        <x:v>0</x:v>
      </x:c>
      <x:c r="O254" s="50"/>
    </x:row>
    <x:row r="255">
      <x:c r="A255" s="53"/>
      <x:c r="B255" s="53"/>
      <x:c r="C255" s="53"/>
      <x:c r="D255" s="53"/>
      <x:c r="E255" s="58"/>
      <x:c r="F255" s="58"/>
      <x:c r="G255" s="59"/>
      <x:c r="H255" s="59" t="n">
        <x:f>SUMIF(Purchases!$D:$D,B255,Purchases!$F:$F)</x:f>
        <x:v>0</x:v>
      </x:c>
      <x:c r="I255" s="59" t="n">
        <x:f>SUMIF(Sales!$D:$D,B255,Sales!$G:$G)</x:f>
        <x:v>0</x:v>
      </x:c>
      <x:c r="J255" s="59" t="n">
        <x:f>G255+H255-I255</x:f>
        <x:v>0</x:v>
      </x:c>
      <x:c r="K255" s="58" t="n">
        <x:f>J255*E255</x:f>
        <x:v>0</x:v>
      </x:c>
      <x:c r="L255" s="59"/>
      <x:c r="M255" s="53"/>
      <x:c r="N255" s="60" t="n">
        <x:f>IFERROR(MAXIFS(Purchases!$B:$B,Purchases!$D:$D,B255),"")</x:f>
        <x:v>0</x:v>
      </x:c>
      <x:c r="O255" s="50"/>
    </x:row>
    <x:row r="256">
      <x:c r="A256" s="53"/>
      <x:c r="B256" s="53"/>
      <x:c r="C256" s="53"/>
      <x:c r="D256" s="53"/>
      <x:c r="E256" s="58"/>
      <x:c r="F256" s="58"/>
      <x:c r="G256" s="59"/>
      <x:c r="H256" s="59" t="n">
        <x:f>SUMIF(Purchases!$D:$D,B256,Purchases!$F:$F)</x:f>
        <x:v>0</x:v>
      </x:c>
      <x:c r="I256" s="59" t="n">
        <x:f>SUMIF(Sales!$D:$D,B256,Sales!$G:$G)</x:f>
        <x:v>0</x:v>
      </x:c>
      <x:c r="J256" s="59" t="n">
        <x:f>G256+H256-I256</x:f>
        <x:v>0</x:v>
      </x:c>
      <x:c r="K256" s="58" t="n">
        <x:f>J256*E256</x:f>
        <x:v>0</x:v>
      </x:c>
      <x:c r="L256" s="59"/>
      <x:c r="M256" s="53"/>
      <x:c r="N256" s="60" t="n">
        <x:f>IFERROR(MAXIFS(Purchases!$B:$B,Purchases!$D:$D,B256),"")</x:f>
        <x:v>0</x:v>
      </x:c>
      <x:c r="O256" s="50"/>
    </x:row>
    <x:row r="257">
      <x:c r="A257" s="53"/>
      <x:c r="B257" s="53"/>
      <x:c r="C257" s="53"/>
      <x:c r="D257" s="53"/>
      <x:c r="E257" s="58"/>
      <x:c r="F257" s="58"/>
      <x:c r="G257" s="59"/>
      <x:c r="H257" s="59" t="n">
        <x:f>SUMIF(Purchases!$D:$D,B257,Purchases!$F:$F)</x:f>
        <x:v>0</x:v>
      </x:c>
      <x:c r="I257" s="59" t="n">
        <x:f>SUMIF(Sales!$D:$D,B257,Sales!$G:$G)</x:f>
        <x:v>0</x:v>
      </x:c>
      <x:c r="J257" s="59" t="n">
        <x:f>G257+H257-I257</x:f>
        <x:v>0</x:v>
      </x:c>
      <x:c r="K257" s="58" t="n">
        <x:f>J257*E257</x:f>
        <x:v>0</x:v>
      </x:c>
      <x:c r="L257" s="59"/>
      <x:c r="M257" s="53"/>
      <x:c r="N257" s="60" t="n">
        <x:f>IFERROR(MAXIFS(Purchases!$B:$B,Purchases!$D:$D,B257),"")</x:f>
        <x:v>0</x:v>
      </x:c>
      <x:c r="O257" s="50"/>
    </x:row>
    <x:row r="258">
      <x:c r="A258" s="53"/>
      <x:c r="B258" s="53"/>
      <x:c r="C258" s="53"/>
      <x:c r="D258" s="53"/>
      <x:c r="E258" s="58"/>
      <x:c r="F258" s="58"/>
      <x:c r="G258" s="59"/>
      <x:c r="H258" s="59" t="n">
        <x:f>SUMIF(Purchases!$D:$D,B258,Purchases!$F:$F)</x:f>
        <x:v>0</x:v>
      </x:c>
      <x:c r="I258" s="59" t="n">
        <x:f>SUMIF(Sales!$D:$D,B258,Sales!$G:$G)</x:f>
        <x:v>0</x:v>
      </x:c>
      <x:c r="J258" s="59" t="n">
        <x:f>G258+H258-I258</x:f>
        <x:v>0</x:v>
      </x:c>
      <x:c r="K258" s="58" t="n">
        <x:f>J258*E258</x:f>
        <x:v>0</x:v>
      </x:c>
      <x:c r="L258" s="59"/>
      <x:c r="M258" s="53"/>
      <x:c r="N258" s="60" t="n">
        <x:f>IFERROR(MAXIFS(Purchases!$B:$B,Purchases!$D:$D,B258),"")</x:f>
        <x:v>0</x:v>
      </x:c>
      <x:c r="O258" s="50"/>
    </x:row>
    <x:row r="259">
      <x:c r="A259" s="53"/>
      <x:c r="B259" s="53"/>
      <x:c r="C259" s="53"/>
      <x:c r="D259" s="53"/>
      <x:c r="E259" s="58"/>
      <x:c r="F259" s="58"/>
      <x:c r="G259" s="59"/>
      <x:c r="H259" s="59" t="n">
        <x:f>SUMIF(Purchases!$D:$D,B259,Purchases!$F:$F)</x:f>
        <x:v>0</x:v>
      </x:c>
      <x:c r="I259" s="59" t="n">
        <x:f>SUMIF(Sales!$D:$D,B259,Sales!$G:$G)</x:f>
        <x:v>0</x:v>
      </x:c>
      <x:c r="J259" s="59" t="n">
        <x:f>G259+H259-I259</x:f>
        <x:v>0</x:v>
      </x:c>
      <x:c r="K259" s="58" t="n">
        <x:f>J259*E259</x:f>
        <x:v>0</x:v>
      </x:c>
      <x:c r="L259" s="59"/>
      <x:c r="M259" s="53"/>
      <x:c r="N259" s="60" t="n">
        <x:f>IFERROR(MAXIFS(Purchases!$B:$B,Purchases!$D:$D,B259),"")</x:f>
        <x:v>0</x:v>
      </x:c>
      <x:c r="O259" s="50"/>
    </x:row>
    <x:row r="260">
      <x:c r="A260" s="53"/>
      <x:c r="B260" s="53"/>
      <x:c r="C260" s="53"/>
      <x:c r="D260" s="53"/>
      <x:c r="E260" s="58"/>
      <x:c r="F260" s="58"/>
      <x:c r="G260" s="59"/>
      <x:c r="H260" s="59" t="n">
        <x:f>SUMIF(Purchases!$D:$D,B260,Purchases!$F:$F)</x:f>
        <x:v>0</x:v>
      </x:c>
      <x:c r="I260" s="59" t="n">
        <x:f>SUMIF(Sales!$D:$D,B260,Sales!$G:$G)</x:f>
        <x:v>0</x:v>
      </x:c>
      <x:c r="J260" s="59" t="n">
        <x:f>G260+H260-I260</x:f>
        <x:v>0</x:v>
      </x:c>
      <x:c r="K260" s="58" t="n">
        <x:f>J260*E260</x:f>
        <x:v>0</x:v>
      </x:c>
      <x:c r="L260" s="59"/>
      <x:c r="M260" s="53"/>
      <x:c r="N260" s="60" t="n">
        <x:f>IFERROR(MAXIFS(Purchases!$B:$B,Purchases!$D:$D,B260),"")</x:f>
        <x:v>0</x:v>
      </x:c>
      <x:c r="O260" s="50"/>
    </x:row>
    <x:row r="261">
      <x:c r="A261" s="53"/>
      <x:c r="B261" s="53"/>
      <x:c r="C261" s="53"/>
      <x:c r="D261" s="53"/>
      <x:c r="E261" s="58"/>
      <x:c r="F261" s="58"/>
      <x:c r="G261" s="59"/>
      <x:c r="H261" s="59" t="n">
        <x:f>SUMIF(Purchases!$D:$D,B261,Purchases!$F:$F)</x:f>
        <x:v>0</x:v>
      </x:c>
      <x:c r="I261" s="59" t="n">
        <x:f>SUMIF(Sales!$D:$D,B261,Sales!$G:$G)</x:f>
        <x:v>0</x:v>
      </x:c>
      <x:c r="J261" s="59" t="n">
        <x:f>G261+H261-I261</x:f>
        <x:v>0</x:v>
      </x:c>
      <x:c r="K261" s="58" t="n">
        <x:f>J261*E261</x:f>
        <x:v>0</x:v>
      </x:c>
      <x:c r="L261" s="59"/>
      <x:c r="M261" s="53"/>
      <x:c r="N261" s="60" t="n">
        <x:f>IFERROR(MAXIFS(Purchases!$B:$B,Purchases!$D:$D,B261),"")</x:f>
        <x:v>0</x:v>
      </x:c>
      <x:c r="O261" s="50"/>
    </x:row>
    <x:row r="262">
      <x:c r="A262" s="53"/>
      <x:c r="B262" s="53"/>
      <x:c r="C262" s="53"/>
      <x:c r="D262" s="53"/>
      <x:c r="E262" s="58"/>
      <x:c r="F262" s="58"/>
      <x:c r="G262" s="59"/>
      <x:c r="H262" s="59" t="n">
        <x:f>SUMIF(Purchases!$D:$D,B262,Purchases!$F:$F)</x:f>
        <x:v>0</x:v>
      </x:c>
      <x:c r="I262" s="59" t="n">
        <x:f>SUMIF(Sales!$D:$D,B262,Sales!$G:$G)</x:f>
        <x:v>0</x:v>
      </x:c>
      <x:c r="J262" s="59" t="n">
        <x:f>G262+H262-I262</x:f>
        <x:v>0</x:v>
      </x:c>
      <x:c r="K262" s="58" t="n">
        <x:f>J262*E262</x:f>
        <x:v>0</x:v>
      </x:c>
      <x:c r="L262" s="59"/>
      <x:c r="M262" s="53"/>
      <x:c r="N262" s="60" t="n">
        <x:f>IFERROR(MAXIFS(Purchases!$B:$B,Purchases!$D:$D,B262),"")</x:f>
        <x:v>0</x:v>
      </x:c>
      <x:c r="O262" s="50"/>
    </x:row>
    <x:row r="263">
      <x:c r="A263" s="53"/>
      <x:c r="B263" s="53"/>
      <x:c r="C263" s="53"/>
      <x:c r="D263" s="53"/>
      <x:c r="E263" s="58"/>
      <x:c r="F263" s="58"/>
      <x:c r="G263" s="59"/>
      <x:c r="H263" s="59" t="n">
        <x:f>SUMIF(Purchases!$D:$D,B263,Purchases!$F:$F)</x:f>
        <x:v>0</x:v>
      </x:c>
      <x:c r="I263" s="59" t="n">
        <x:f>SUMIF(Sales!$D:$D,B263,Sales!$G:$G)</x:f>
        <x:v>0</x:v>
      </x:c>
      <x:c r="J263" s="59" t="n">
        <x:f>G263+H263-I263</x:f>
        <x:v>0</x:v>
      </x:c>
      <x:c r="K263" s="58" t="n">
        <x:f>J263*E263</x:f>
        <x:v>0</x:v>
      </x:c>
      <x:c r="L263" s="59"/>
      <x:c r="M263" s="53"/>
      <x:c r="N263" s="60" t="n">
        <x:f>IFERROR(MAXIFS(Purchases!$B:$B,Purchases!$D:$D,B263),"")</x:f>
        <x:v>0</x:v>
      </x:c>
      <x:c r="O263" s="50"/>
    </x:row>
    <x:row r="264">
      <x:c r="A264" s="53"/>
      <x:c r="B264" s="53"/>
      <x:c r="C264" s="53"/>
      <x:c r="D264" s="53"/>
      <x:c r="E264" s="58"/>
      <x:c r="F264" s="58"/>
      <x:c r="G264" s="59"/>
      <x:c r="H264" s="59" t="n">
        <x:f>SUMIF(Purchases!$D:$D,B264,Purchases!$F:$F)</x:f>
        <x:v>0</x:v>
      </x:c>
      <x:c r="I264" s="59" t="n">
        <x:f>SUMIF(Sales!$D:$D,B264,Sales!$G:$G)</x:f>
        <x:v>0</x:v>
      </x:c>
      <x:c r="J264" s="59" t="n">
        <x:f>G264+H264-I264</x:f>
        <x:v>0</x:v>
      </x:c>
      <x:c r="K264" s="58" t="n">
        <x:f>J264*E264</x:f>
        <x:v>0</x:v>
      </x:c>
      <x:c r="L264" s="59"/>
      <x:c r="M264" s="53"/>
      <x:c r="N264" s="60" t="n">
        <x:f>IFERROR(MAXIFS(Purchases!$B:$B,Purchases!$D:$D,B264),"")</x:f>
        <x:v>0</x:v>
      </x:c>
      <x:c r="O264" s="50"/>
    </x:row>
    <x:row r="265">
      <x:c r="A265" s="53"/>
      <x:c r="B265" s="53"/>
      <x:c r="C265" s="53"/>
      <x:c r="D265" s="53"/>
      <x:c r="E265" s="58"/>
      <x:c r="F265" s="58"/>
      <x:c r="G265" s="59"/>
      <x:c r="H265" s="59" t="n">
        <x:f>SUMIF(Purchases!$D:$D,B265,Purchases!$F:$F)</x:f>
        <x:v>0</x:v>
      </x:c>
      <x:c r="I265" s="59" t="n">
        <x:f>SUMIF(Sales!$D:$D,B265,Sales!$G:$G)</x:f>
        <x:v>0</x:v>
      </x:c>
      <x:c r="J265" s="59" t="n">
        <x:f>G265+H265-I265</x:f>
        <x:v>0</x:v>
      </x:c>
      <x:c r="K265" s="58" t="n">
        <x:f>J265*E265</x:f>
        <x:v>0</x:v>
      </x:c>
      <x:c r="L265" s="59"/>
      <x:c r="M265" s="53"/>
      <x:c r="N265" s="60" t="n">
        <x:f>IFERROR(MAXIFS(Purchases!$B:$B,Purchases!$D:$D,B265),"")</x:f>
        <x:v>0</x:v>
      </x:c>
      <x:c r="O265" s="50"/>
    </x:row>
    <x:row r="266">
      <x:c r="A266" s="53"/>
      <x:c r="B266" s="53"/>
      <x:c r="C266" s="53"/>
      <x:c r="D266" s="53"/>
      <x:c r="E266" s="58"/>
      <x:c r="F266" s="58"/>
      <x:c r="G266" s="59"/>
      <x:c r="H266" s="59" t="n">
        <x:f>SUMIF(Purchases!$D:$D,B266,Purchases!$F:$F)</x:f>
        <x:v>0</x:v>
      </x:c>
      <x:c r="I266" s="59" t="n">
        <x:f>SUMIF(Sales!$D:$D,B266,Sales!$G:$G)</x:f>
        <x:v>0</x:v>
      </x:c>
      <x:c r="J266" s="59" t="n">
        <x:f>G266+H266-I266</x:f>
        <x:v>0</x:v>
      </x:c>
      <x:c r="K266" s="58" t="n">
        <x:f>J266*E266</x:f>
        <x:v>0</x:v>
      </x:c>
      <x:c r="L266" s="59"/>
      <x:c r="M266" s="53"/>
      <x:c r="N266" s="60" t="n">
        <x:f>IFERROR(MAXIFS(Purchases!$B:$B,Purchases!$D:$D,B266),"")</x:f>
        <x:v>0</x:v>
      </x:c>
      <x:c r="O266" s="50"/>
    </x:row>
    <x:row r="267">
      <x:c r="A267" s="53"/>
      <x:c r="B267" s="53"/>
      <x:c r="C267" s="53"/>
      <x:c r="D267" s="53"/>
      <x:c r="E267" s="58"/>
      <x:c r="F267" s="58"/>
      <x:c r="G267" s="59"/>
      <x:c r="H267" s="59" t="n">
        <x:f>SUMIF(Purchases!$D:$D,B267,Purchases!$F:$F)</x:f>
        <x:v>0</x:v>
      </x:c>
      <x:c r="I267" s="59" t="n">
        <x:f>SUMIF(Sales!$D:$D,B267,Sales!$G:$G)</x:f>
        <x:v>0</x:v>
      </x:c>
      <x:c r="J267" s="59" t="n">
        <x:f>G267+H267-I267</x:f>
        <x:v>0</x:v>
      </x:c>
      <x:c r="K267" s="58" t="n">
        <x:f>J267*E267</x:f>
        <x:v>0</x:v>
      </x:c>
      <x:c r="L267" s="59"/>
      <x:c r="M267" s="53"/>
      <x:c r="N267" s="60" t="n">
        <x:f>IFERROR(MAXIFS(Purchases!$B:$B,Purchases!$D:$D,B267),"")</x:f>
        <x:v>0</x:v>
      </x:c>
      <x:c r="O267" s="50"/>
    </x:row>
    <x:row r="268">
      <x:c r="A268" s="53"/>
      <x:c r="B268" s="53"/>
      <x:c r="C268" s="53"/>
      <x:c r="D268" s="53"/>
      <x:c r="E268" s="58"/>
      <x:c r="F268" s="58"/>
      <x:c r="G268" s="59"/>
      <x:c r="H268" s="59" t="n">
        <x:f>SUMIF(Purchases!$D:$D,B268,Purchases!$F:$F)</x:f>
        <x:v>0</x:v>
      </x:c>
      <x:c r="I268" s="59" t="n">
        <x:f>SUMIF(Sales!$D:$D,B268,Sales!$G:$G)</x:f>
        <x:v>0</x:v>
      </x:c>
      <x:c r="J268" s="59" t="n">
        <x:f>G268+H268-I268</x:f>
        <x:v>0</x:v>
      </x:c>
      <x:c r="K268" s="58" t="n">
        <x:f>J268*E268</x:f>
        <x:v>0</x:v>
      </x:c>
      <x:c r="L268" s="59"/>
      <x:c r="M268" s="53"/>
      <x:c r="N268" s="60" t="n">
        <x:f>IFERROR(MAXIFS(Purchases!$B:$B,Purchases!$D:$D,B268),"")</x:f>
        <x:v>0</x:v>
      </x:c>
      <x:c r="O268" s="50"/>
    </x:row>
    <x:row r="269">
      <x:c r="A269" s="53"/>
      <x:c r="B269" s="53"/>
      <x:c r="C269" s="53"/>
      <x:c r="D269" s="53"/>
      <x:c r="E269" s="58"/>
      <x:c r="F269" s="58"/>
      <x:c r="G269" s="59"/>
      <x:c r="H269" s="59" t="n">
        <x:f>SUMIF(Purchases!$D:$D,B269,Purchases!$F:$F)</x:f>
        <x:v>0</x:v>
      </x:c>
      <x:c r="I269" s="59" t="n">
        <x:f>SUMIF(Sales!$D:$D,B269,Sales!$G:$G)</x:f>
        <x:v>0</x:v>
      </x:c>
      <x:c r="J269" s="59" t="n">
        <x:f>G269+H269-I269</x:f>
        <x:v>0</x:v>
      </x:c>
      <x:c r="K269" s="58" t="n">
        <x:f>J269*E269</x:f>
        <x:v>0</x:v>
      </x:c>
      <x:c r="L269" s="59"/>
      <x:c r="M269" s="53"/>
      <x:c r="N269" s="60" t="n">
        <x:f>IFERROR(MAXIFS(Purchases!$B:$B,Purchases!$D:$D,B269),"")</x:f>
        <x:v>0</x:v>
      </x:c>
      <x:c r="O269" s="50"/>
    </x:row>
    <x:row r="270">
      <x:c r="A270" s="53"/>
      <x:c r="B270" s="53"/>
      <x:c r="C270" s="53"/>
      <x:c r="D270" s="53"/>
      <x:c r="E270" s="58"/>
      <x:c r="F270" s="58"/>
      <x:c r="G270" s="59"/>
      <x:c r="H270" s="59" t="n">
        <x:f>SUMIF(Purchases!$D:$D,B270,Purchases!$F:$F)</x:f>
        <x:v>0</x:v>
      </x:c>
      <x:c r="I270" s="59" t="n">
        <x:f>SUMIF(Sales!$D:$D,B270,Sales!$G:$G)</x:f>
        <x:v>0</x:v>
      </x:c>
      <x:c r="J270" s="59" t="n">
        <x:f>G270+H270-I270</x:f>
        <x:v>0</x:v>
      </x:c>
      <x:c r="K270" s="58" t="n">
        <x:f>J270*E270</x:f>
        <x:v>0</x:v>
      </x:c>
      <x:c r="L270" s="59"/>
      <x:c r="M270" s="53"/>
      <x:c r="N270" s="60" t="n">
        <x:f>IFERROR(MAXIFS(Purchases!$B:$B,Purchases!$D:$D,B270),"")</x:f>
        <x:v>0</x:v>
      </x:c>
      <x:c r="O270" s="50"/>
    </x:row>
    <x:row r="271">
      <x:c r="A271" s="53"/>
      <x:c r="B271" s="53"/>
      <x:c r="C271" s="53"/>
      <x:c r="D271" s="53"/>
      <x:c r="E271" s="58"/>
      <x:c r="F271" s="58"/>
      <x:c r="G271" s="59"/>
      <x:c r="H271" s="59" t="n">
        <x:f>SUMIF(Purchases!$D:$D,B271,Purchases!$F:$F)</x:f>
        <x:v>0</x:v>
      </x:c>
      <x:c r="I271" s="59" t="n">
        <x:f>SUMIF(Sales!$D:$D,B271,Sales!$G:$G)</x:f>
        <x:v>0</x:v>
      </x:c>
      <x:c r="J271" s="59" t="n">
        <x:f>G271+H271-I271</x:f>
        <x:v>0</x:v>
      </x:c>
      <x:c r="K271" s="58" t="n">
        <x:f>J271*E271</x:f>
        <x:v>0</x:v>
      </x:c>
      <x:c r="L271" s="59"/>
      <x:c r="M271" s="53"/>
      <x:c r="N271" s="60" t="n">
        <x:f>IFERROR(MAXIFS(Purchases!$B:$B,Purchases!$D:$D,B271),"")</x:f>
        <x:v>0</x:v>
      </x:c>
      <x:c r="O271" s="50"/>
    </x:row>
    <x:row r="272">
      <x:c r="A272" s="53"/>
      <x:c r="B272" s="53"/>
      <x:c r="C272" s="53"/>
      <x:c r="D272" s="53"/>
      <x:c r="E272" s="58"/>
      <x:c r="F272" s="58"/>
      <x:c r="G272" s="59"/>
      <x:c r="H272" s="59" t="n">
        <x:f>SUMIF(Purchases!$D:$D,B272,Purchases!$F:$F)</x:f>
        <x:v>0</x:v>
      </x:c>
      <x:c r="I272" s="59" t="n">
        <x:f>SUMIF(Sales!$D:$D,B272,Sales!$G:$G)</x:f>
        <x:v>0</x:v>
      </x:c>
      <x:c r="J272" s="59" t="n">
        <x:f>G272+H272-I272</x:f>
        <x:v>0</x:v>
      </x:c>
      <x:c r="K272" s="58" t="n">
        <x:f>J272*E272</x:f>
        <x:v>0</x:v>
      </x:c>
      <x:c r="L272" s="59"/>
      <x:c r="M272" s="53"/>
      <x:c r="N272" s="60" t="n">
        <x:f>IFERROR(MAXIFS(Purchases!$B:$B,Purchases!$D:$D,B272),"")</x:f>
        <x:v>0</x:v>
      </x:c>
      <x:c r="O272" s="50"/>
    </x:row>
    <x:row r="273">
      <x:c r="A273" s="53"/>
      <x:c r="B273" s="53"/>
      <x:c r="C273" s="53"/>
      <x:c r="D273" s="53"/>
      <x:c r="E273" s="58"/>
      <x:c r="F273" s="58"/>
      <x:c r="G273" s="59"/>
      <x:c r="H273" s="59" t="n">
        <x:f>SUMIF(Purchases!$D:$D,B273,Purchases!$F:$F)</x:f>
        <x:v>0</x:v>
      </x:c>
      <x:c r="I273" s="59" t="n">
        <x:f>SUMIF(Sales!$D:$D,B273,Sales!$G:$G)</x:f>
        <x:v>0</x:v>
      </x:c>
      <x:c r="J273" s="59" t="n">
        <x:f>G273+H273-I273</x:f>
        <x:v>0</x:v>
      </x:c>
      <x:c r="K273" s="58" t="n">
        <x:f>J273*E273</x:f>
        <x:v>0</x:v>
      </x:c>
      <x:c r="L273" s="59"/>
      <x:c r="M273" s="53"/>
      <x:c r="N273" s="60" t="n">
        <x:f>IFERROR(MAXIFS(Purchases!$B:$B,Purchases!$D:$D,B273),"")</x:f>
        <x:v>0</x:v>
      </x:c>
      <x:c r="O273" s="50"/>
    </x:row>
    <x:row r="274">
      <x:c r="A274" s="53"/>
      <x:c r="B274" s="53"/>
      <x:c r="C274" s="53"/>
      <x:c r="D274" s="53"/>
      <x:c r="E274" s="58"/>
      <x:c r="F274" s="58"/>
      <x:c r="G274" s="59"/>
      <x:c r="H274" s="59" t="n">
        <x:f>SUMIF(Purchases!$D:$D,B274,Purchases!$F:$F)</x:f>
        <x:v>0</x:v>
      </x:c>
      <x:c r="I274" s="59" t="n">
        <x:f>SUMIF(Sales!$D:$D,B274,Sales!$G:$G)</x:f>
        <x:v>0</x:v>
      </x:c>
      <x:c r="J274" s="59" t="n">
        <x:f>G274+H274-I274</x:f>
        <x:v>0</x:v>
      </x:c>
      <x:c r="K274" s="58" t="n">
        <x:f>J274*E274</x:f>
        <x:v>0</x:v>
      </x:c>
      <x:c r="L274" s="59"/>
      <x:c r="M274" s="53"/>
      <x:c r="N274" s="60" t="n">
        <x:f>IFERROR(MAXIFS(Purchases!$B:$B,Purchases!$D:$D,B274),"")</x:f>
        <x:v>0</x:v>
      </x:c>
      <x:c r="O274" s="50"/>
    </x:row>
    <x:row r="275">
      <x:c r="A275" s="53"/>
      <x:c r="B275" s="53"/>
      <x:c r="C275" s="53"/>
      <x:c r="D275" s="53"/>
      <x:c r="E275" s="58"/>
      <x:c r="F275" s="58"/>
      <x:c r="G275" s="59"/>
      <x:c r="H275" s="59" t="n">
        <x:f>SUMIF(Purchases!$D:$D,B275,Purchases!$F:$F)</x:f>
        <x:v>0</x:v>
      </x:c>
      <x:c r="I275" s="59" t="n">
        <x:f>SUMIF(Sales!$D:$D,B275,Sales!$G:$G)</x:f>
        <x:v>0</x:v>
      </x:c>
      <x:c r="J275" s="59" t="n">
        <x:f>G275+H275-I275</x:f>
        <x:v>0</x:v>
      </x:c>
      <x:c r="K275" s="58" t="n">
        <x:f>J275*E275</x:f>
        <x:v>0</x:v>
      </x:c>
      <x:c r="L275" s="59"/>
      <x:c r="M275" s="53"/>
      <x:c r="N275" s="60" t="n">
        <x:f>IFERROR(MAXIFS(Purchases!$B:$B,Purchases!$D:$D,B275),"")</x:f>
        <x:v>0</x:v>
      </x:c>
      <x:c r="O275" s="50"/>
    </x:row>
    <x:row r="276">
      <x:c r="A276" s="53"/>
      <x:c r="B276" s="53"/>
      <x:c r="C276" s="53"/>
      <x:c r="D276" s="53"/>
      <x:c r="E276" s="58"/>
      <x:c r="F276" s="58"/>
      <x:c r="G276" s="59"/>
      <x:c r="H276" s="59" t="n">
        <x:f>SUMIF(Purchases!$D:$D,B276,Purchases!$F:$F)</x:f>
        <x:v>0</x:v>
      </x:c>
      <x:c r="I276" s="59" t="n">
        <x:f>SUMIF(Sales!$D:$D,B276,Sales!$G:$G)</x:f>
        <x:v>0</x:v>
      </x:c>
      <x:c r="J276" s="59" t="n">
        <x:f>G276+H276-I276</x:f>
        <x:v>0</x:v>
      </x:c>
      <x:c r="K276" s="58" t="n">
        <x:f>J276*E276</x:f>
        <x:v>0</x:v>
      </x:c>
      <x:c r="L276" s="59"/>
      <x:c r="M276" s="53"/>
      <x:c r="N276" s="60" t="n">
        <x:f>IFERROR(MAXIFS(Purchases!$B:$B,Purchases!$D:$D,B276),"")</x:f>
        <x:v>0</x:v>
      </x:c>
      <x:c r="O276" s="50"/>
    </x:row>
    <x:row r="277">
      <x:c r="A277" s="53"/>
      <x:c r="B277" s="53"/>
      <x:c r="C277" s="53"/>
      <x:c r="D277" s="53"/>
      <x:c r="E277" s="58"/>
      <x:c r="F277" s="58"/>
      <x:c r="G277" s="59"/>
      <x:c r="H277" s="59" t="n">
        <x:f>SUMIF(Purchases!$D:$D,B277,Purchases!$F:$F)</x:f>
        <x:v>0</x:v>
      </x:c>
      <x:c r="I277" s="59" t="n">
        <x:f>SUMIF(Sales!$D:$D,B277,Sales!$G:$G)</x:f>
        <x:v>0</x:v>
      </x:c>
      <x:c r="J277" s="59" t="n">
        <x:f>G277+H277-I277</x:f>
        <x:v>0</x:v>
      </x:c>
      <x:c r="K277" s="58" t="n">
        <x:f>J277*E277</x:f>
        <x:v>0</x:v>
      </x:c>
      <x:c r="L277" s="59"/>
      <x:c r="M277" s="53"/>
      <x:c r="N277" s="60" t="n">
        <x:f>IFERROR(MAXIFS(Purchases!$B:$B,Purchases!$D:$D,B277),"")</x:f>
        <x:v>0</x:v>
      </x:c>
      <x:c r="O277" s="50"/>
    </x:row>
    <x:row r="278">
      <x:c r="A278" s="53"/>
      <x:c r="B278" s="53"/>
      <x:c r="C278" s="53"/>
      <x:c r="D278" s="53"/>
      <x:c r="E278" s="58"/>
      <x:c r="F278" s="58"/>
      <x:c r="G278" s="59"/>
      <x:c r="H278" s="59" t="n">
        <x:f>SUMIF(Purchases!$D:$D,B278,Purchases!$F:$F)</x:f>
        <x:v>0</x:v>
      </x:c>
      <x:c r="I278" s="59" t="n">
        <x:f>SUMIF(Sales!$D:$D,B278,Sales!$G:$G)</x:f>
        <x:v>0</x:v>
      </x:c>
      <x:c r="J278" s="59" t="n">
        <x:f>G278+H278-I278</x:f>
        <x:v>0</x:v>
      </x:c>
      <x:c r="K278" s="58" t="n">
        <x:f>J278*E278</x:f>
        <x:v>0</x:v>
      </x:c>
      <x:c r="L278" s="59"/>
      <x:c r="M278" s="53"/>
      <x:c r="N278" s="60" t="n">
        <x:f>IFERROR(MAXIFS(Purchases!$B:$B,Purchases!$D:$D,B278),"")</x:f>
        <x:v>0</x:v>
      </x:c>
      <x:c r="O278" s="50"/>
    </x:row>
    <x:row r="279">
      <x:c r="A279" s="53"/>
      <x:c r="B279" s="53"/>
      <x:c r="C279" s="53"/>
      <x:c r="D279" s="53"/>
      <x:c r="E279" s="58"/>
      <x:c r="F279" s="58"/>
      <x:c r="G279" s="59"/>
      <x:c r="H279" s="59" t="n">
        <x:f>SUMIF(Purchases!$D:$D,B279,Purchases!$F:$F)</x:f>
        <x:v>0</x:v>
      </x:c>
      <x:c r="I279" s="59" t="n">
        <x:f>SUMIF(Sales!$D:$D,B279,Sales!$G:$G)</x:f>
        <x:v>0</x:v>
      </x:c>
      <x:c r="J279" s="59" t="n">
        <x:f>G279+H279-I279</x:f>
        <x:v>0</x:v>
      </x:c>
      <x:c r="K279" s="58" t="n">
        <x:f>J279*E279</x:f>
        <x:v>0</x:v>
      </x:c>
      <x:c r="L279" s="59"/>
      <x:c r="M279" s="53"/>
      <x:c r="N279" s="60" t="n">
        <x:f>IFERROR(MAXIFS(Purchases!$B:$B,Purchases!$D:$D,B279),"")</x:f>
        <x:v>0</x:v>
      </x:c>
      <x:c r="O279" s="50"/>
    </x:row>
    <x:row r="280">
      <x:c r="A280" s="53"/>
      <x:c r="B280" s="53"/>
      <x:c r="C280" s="53"/>
      <x:c r="D280" s="53"/>
      <x:c r="E280" s="58"/>
      <x:c r="F280" s="58"/>
      <x:c r="G280" s="59"/>
      <x:c r="H280" s="59" t="n">
        <x:f>SUMIF(Purchases!$D:$D,B280,Purchases!$F:$F)</x:f>
        <x:v>0</x:v>
      </x:c>
      <x:c r="I280" s="59" t="n">
        <x:f>SUMIF(Sales!$D:$D,B280,Sales!$G:$G)</x:f>
        <x:v>0</x:v>
      </x:c>
      <x:c r="J280" s="59" t="n">
        <x:f>G280+H280-I280</x:f>
        <x:v>0</x:v>
      </x:c>
      <x:c r="K280" s="58" t="n">
        <x:f>J280*E280</x:f>
        <x:v>0</x:v>
      </x:c>
      <x:c r="L280" s="59"/>
      <x:c r="M280" s="53"/>
      <x:c r="N280" s="60" t="n">
        <x:f>IFERROR(MAXIFS(Purchases!$B:$B,Purchases!$D:$D,B280),"")</x:f>
        <x:v>0</x:v>
      </x:c>
      <x:c r="O280" s="50"/>
    </x:row>
    <x:row r="281">
      <x:c r="A281" s="53"/>
      <x:c r="B281" s="53"/>
      <x:c r="C281" s="53"/>
      <x:c r="D281" s="53"/>
      <x:c r="E281" s="58"/>
      <x:c r="F281" s="58"/>
      <x:c r="G281" s="59"/>
      <x:c r="H281" s="59" t="n">
        <x:f>SUMIF(Purchases!$D:$D,B281,Purchases!$F:$F)</x:f>
        <x:v>0</x:v>
      </x:c>
      <x:c r="I281" s="59" t="n">
        <x:f>SUMIF(Sales!$D:$D,B281,Sales!$G:$G)</x:f>
        <x:v>0</x:v>
      </x:c>
      <x:c r="J281" s="59" t="n">
        <x:f>G281+H281-I281</x:f>
        <x:v>0</x:v>
      </x:c>
      <x:c r="K281" s="58" t="n">
        <x:f>J281*E281</x:f>
        <x:v>0</x:v>
      </x:c>
      <x:c r="L281" s="59"/>
      <x:c r="M281" s="53"/>
      <x:c r="N281" s="60" t="n">
        <x:f>IFERROR(MAXIFS(Purchases!$B:$B,Purchases!$D:$D,B281),"")</x:f>
        <x:v>0</x:v>
      </x:c>
      <x:c r="O281" s="50"/>
    </x:row>
    <x:row r="282">
      <x:c r="A282" s="53"/>
      <x:c r="B282" s="53"/>
      <x:c r="C282" s="53"/>
      <x:c r="D282" s="53"/>
      <x:c r="E282" s="58"/>
      <x:c r="F282" s="58"/>
      <x:c r="G282" s="59"/>
      <x:c r="H282" s="59" t="n">
        <x:f>SUMIF(Purchases!$D:$D,B282,Purchases!$F:$F)</x:f>
        <x:v>0</x:v>
      </x:c>
      <x:c r="I282" s="59" t="n">
        <x:f>SUMIF(Sales!$D:$D,B282,Sales!$G:$G)</x:f>
        <x:v>0</x:v>
      </x:c>
      <x:c r="J282" s="59" t="n">
        <x:f>G282+H282-I282</x:f>
        <x:v>0</x:v>
      </x:c>
      <x:c r="K282" s="58" t="n">
        <x:f>J282*E282</x:f>
        <x:v>0</x:v>
      </x:c>
      <x:c r="L282" s="59"/>
      <x:c r="M282" s="53"/>
      <x:c r="N282" s="60" t="n">
        <x:f>IFERROR(MAXIFS(Purchases!$B:$B,Purchases!$D:$D,B282),"")</x:f>
        <x:v>0</x:v>
      </x:c>
      <x:c r="O282" s="50"/>
    </x:row>
    <x:row r="283">
      <x:c r="A283" s="53"/>
      <x:c r="B283" s="53"/>
      <x:c r="C283" s="53"/>
      <x:c r="D283" s="53"/>
      <x:c r="E283" s="58"/>
      <x:c r="F283" s="58"/>
      <x:c r="G283" s="59"/>
      <x:c r="H283" s="59" t="n">
        <x:f>SUMIF(Purchases!$D:$D,B283,Purchases!$F:$F)</x:f>
        <x:v>0</x:v>
      </x:c>
      <x:c r="I283" s="59" t="n">
        <x:f>SUMIF(Sales!$D:$D,B283,Sales!$G:$G)</x:f>
        <x:v>0</x:v>
      </x:c>
      <x:c r="J283" s="59" t="n">
        <x:f>G283+H283-I283</x:f>
        <x:v>0</x:v>
      </x:c>
      <x:c r="K283" s="58" t="n">
        <x:f>J283*E283</x:f>
        <x:v>0</x:v>
      </x:c>
      <x:c r="L283" s="59"/>
      <x:c r="M283" s="53"/>
      <x:c r="N283" s="60" t="n">
        <x:f>IFERROR(MAXIFS(Purchases!$B:$B,Purchases!$D:$D,B283),"")</x:f>
        <x:v>0</x:v>
      </x:c>
      <x:c r="O283" s="50"/>
    </x:row>
    <x:row r="284">
      <x:c r="A284" s="53"/>
      <x:c r="B284" s="53"/>
      <x:c r="C284" s="53"/>
      <x:c r="D284" s="53"/>
      <x:c r="E284" s="58"/>
      <x:c r="F284" s="58"/>
      <x:c r="G284" s="59"/>
      <x:c r="H284" s="59" t="n">
        <x:f>SUMIF(Purchases!$D:$D,B284,Purchases!$F:$F)</x:f>
        <x:v>0</x:v>
      </x:c>
      <x:c r="I284" s="59" t="n">
        <x:f>SUMIF(Sales!$D:$D,B284,Sales!$G:$G)</x:f>
        <x:v>0</x:v>
      </x:c>
      <x:c r="J284" s="59" t="n">
        <x:f>G284+H284-I284</x:f>
        <x:v>0</x:v>
      </x:c>
      <x:c r="K284" s="58" t="n">
        <x:f>J284*E284</x:f>
        <x:v>0</x:v>
      </x:c>
      <x:c r="L284" s="59"/>
      <x:c r="M284" s="53"/>
      <x:c r="N284" s="60" t="n">
        <x:f>IFERROR(MAXIFS(Purchases!$B:$B,Purchases!$D:$D,B284),"")</x:f>
        <x:v>0</x:v>
      </x:c>
      <x:c r="O284" s="50"/>
    </x:row>
    <x:row r="285">
      <x:c r="A285" s="53"/>
      <x:c r="B285" s="53"/>
      <x:c r="C285" s="53"/>
      <x:c r="D285" s="53"/>
      <x:c r="E285" s="58"/>
      <x:c r="F285" s="58"/>
      <x:c r="G285" s="59"/>
      <x:c r="H285" s="59" t="n">
        <x:f>SUMIF(Purchases!$D:$D,B285,Purchases!$F:$F)</x:f>
        <x:v>0</x:v>
      </x:c>
      <x:c r="I285" s="59" t="n">
        <x:f>SUMIF(Sales!$D:$D,B285,Sales!$G:$G)</x:f>
        <x:v>0</x:v>
      </x:c>
      <x:c r="J285" s="59" t="n">
        <x:f>G285+H285-I285</x:f>
        <x:v>0</x:v>
      </x:c>
      <x:c r="K285" s="58" t="n">
        <x:f>J285*E285</x:f>
        <x:v>0</x:v>
      </x:c>
      <x:c r="L285" s="59"/>
      <x:c r="M285" s="53"/>
      <x:c r="N285" s="60" t="n">
        <x:f>IFERROR(MAXIFS(Purchases!$B:$B,Purchases!$D:$D,B285),"")</x:f>
        <x:v>0</x:v>
      </x:c>
      <x:c r="O285" s="50"/>
    </x:row>
    <x:row r="286">
      <x:c r="A286" s="53"/>
      <x:c r="B286" s="53"/>
      <x:c r="C286" s="53"/>
      <x:c r="D286" s="53"/>
      <x:c r="E286" s="58"/>
      <x:c r="F286" s="58"/>
      <x:c r="G286" s="59"/>
      <x:c r="H286" s="59" t="n">
        <x:f>SUMIF(Purchases!$D:$D,B286,Purchases!$F:$F)</x:f>
        <x:v>0</x:v>
      </x:c>
      <x:c r="I286" s="59" t="n">
        <x:f>SUMIF(Sales!$D:$D,B286,Sales!$G:$G)</x:f>
        <x:v>0</x:v>
      </x:c>
      <x:c r="J286" s="59" t="n">
        <x:f>G286+H286-I286</x:f>
        <x:v>0</x:v>
      </x:c>
      <x:c r="K286" s="58" t="n">
        <x:f>J286*E286</x:f>
        <x:v>0</x:v>
      </x:c>
      <x:c r="L286" s="59"/>
      <x:c r="M286" s="53"/>
      <x:c r="N286" s="60" t="n">
        <x:f>IFERROR(MAXIFS(Purchases!$B:$B,Purchases!$D:$D,B286),"")</x:f>
        <x:v>0</x:v>
      </x:c>
      <x:c r="O286" s="50"/>
    </x:row>
    <x:row r="287">
      <x:c r="A287" s="53"/>
      <x:c r="B287" s="53"/>
      <x:c r="C287" s="53"/>
      <x:c r="D287" s="53"/>
      <x:c r="E287" s="58"/>
      <x:c r="F287" s="58"/>
      <x:c r="G287" s="59"/>
      <x:c r="H287" s="59" t="n">
        <x:f>SUMIF(Purchases!$D:$D,B287,Purchases!$F:$F)</x:f>
        <x:v>0</x:v>
      </x:c>
      <x:c r="I287" s="59" t="n">
        <x:f>SUMIF(Sales!$D:$D,B287,Sales!$G:$G)</x:f>
        <x:v>0</x:v>
      </x:c>
      <x:c r="J287" s="59" t="n">
        <x:f>G287+H287-I287</x:f>
        <x:v>0</x:v>
      </x:c>
      <x:c r="K287" s="58" t="n">
        <x:f>J287*E287</x:f>
        <x:v>0</x:v>
      </x:c>
      <x:c r="L287" s="59"/>
      <x:c r="M287" s="53"/>
      <x:c r="N287" s="60" t="n">
        <x:f>IFERROR(MAXIFS(Purchases!$B:$B,Purchases!$D:$D,B287),"")</x:f>
        <x:v>0</x:v>
      </x:c>
      <x:c r="O287" s="50"/>
    </x:row>
    <x:row r="288">
      <x:c r="A288" s="53"/>
      <x:c r="B288" s="53"/>
      <x:c r="C288" s="53"/>
      <x:c r="D288" s="53"/>
      <x:c r="E288" s="58"/>
      <x:c r="F288" s="58"/>
      <x:c r="G288" s="59"/>
      <x:c r="H288" s="59" t="n">
        <x:f>SUMIF(Purchases!$D:$D,B288,Purchases!$F:$F)</x:f>
        <x:v>0</x:v>
      </x:c>
      <x:c r="I288" s="59" t="n">
        <x:f>SUMIF(Sales!$D:$D,B288,Sales!$G:$G)</x:f>
        <x:v>0</x:v>
      </x:c>
      <x:c r="J288" s="59" t="n">
        <x:f>G288+H288-I288</x:f>
        <x:v>0</x:v>
      </x:c>
      <x:c r="K288" s="58" t="n">
        <x:f>J288*E288</x:f>
        <x:v>0</x:v>
      </x:c>
      <x:c r="L288" s="59"/>
      <x:c r="M288" s="53"/>
      <x:c r="N288" s="60" t="n">
        <x:f>IFERROR(MAXIFS(Purchases!$B:$B,Purchases!$D:$D,B288),"")</x:f>
        <x:v>0</x:v>
      </x:c>
      <x:c r="O288" s="50"/>
    </x:row>
    <x:row r="289">
      <x:c r="A289" s="53"/>
      <x:c r="B289" s="53"/>
      <x:c r="C289" s="53"/>
      <x:c r="D289" s="53"/>
      <x:c r="E289" s="58"/>
      <x:c r="F289" s="58"/>
      <x:c r="G289" s="59"/>
      <x:c r="H289" s="59" t="n">
        <x:f>SUMIF(Purchases!$D:$D,B289,Purchases!$F:$F)</x:f>
        <x:v>0</x:v>
      </x:c>
      <x:c r="I289" s="59" t="n">
        <x:f>SUMIF(Sales!$D:$D,B289,Sales!$G:$G)</x:f>
        <x:v>0</x:v>
      </x:c>
      <x:c r="J289" s="59" t="n">
        <x:f>G289+H289-I289</x:f>
        <x:v>0</x:v>
      </x:c>
      <x:c r="K289" s="58" t="n">
        <x:f>J289*E289</x:f>
        <x:v>0</x:v>
      </x:c>
      <x:c r="L289" s="59"/>
      <x:c r="M289" s="53"/>
      <x:c r="N289" s="60" t="n">
        <x:f>IFERROR(MAXIFS(Purchases!$B:$B,Purchases!$D:$D,B289),"")</x:f>
        <x:v>0</x:v>
      </x:c>
      <x:c r="O289" s="50"/>
    </x:row>
    <x:row r="290">
      <x:c r="A290" s="53"/>
      <x:c r="B290" s="53"/>
      <x:c r="C290" s="53"/>
      <x:c r="D290" s="53"/>
      <x:c r="E290" s="58"/>
      <x:c r="F290" s="58"/>
      <x:c r="G290" s="59"/>
      <x:c r="H290" s="59" t="n">
        <x:f>SUMIF(Purchases!$D:$D,B290,Purchases!$F:$F)</x:f>
        <x:v>0</x:v>
      </x:c>
      <x:c r="I290" s="59" t="n">
        <x:f>SUMIF(Sales!$D:$D,B290,Sales!$G:$G)</x:f>
        <x:v>0</x:v>
      </x:c>
      <x:c r="J290" s="59" t="n">
        <x:f>G290+H290-I290</x:f>
        <x:v>0</x:v>
      </x:c>
      <x:c r="K290" s="58" t="n">
        <x:f>J290*E290</x:f>
        <x:v>0</x:v>
      </x:c>
      <x:c r="L290" s="59"/>
      <x:c r="M290" s="53"/>
      <x:c r="N290" s="60" t="n">
        <x:f>IFERROR(MAXIFS(Purchases!$B:$B,Purchases!$D:$D,B290),"")</x:f>
        <x:v>0</x:v>
      </x:c>
      <x:c r="O290" s="50"/>
    </x:row>
    <x:row r="291">
      <x:c r="A291" s="53"/>
      <x:c r="B291" s="53"/>
      <x:c r="C291" s="53"/>
      <x:c r="D291" s="53"/>
      <x:c r="E291" s="58"/>
      <x:c r="F291" s="58"/>
      <x:c r="G291" s="59"/>
      <x:c r="H291" s="59" t="n">
        <x:f>SUMIF(Purchases!$D:$D,B291,Purchases!$F:$F)</x:f>
        <x:v>0</x:v>
      </x:c>
      <x:c r="I291" s="59" t="n">
        <x:f>SUMIF(Sales!$D:$D,B291,Sales!$G:$G)</x:f>
        <x:v>0</x:v>
      </x:c>
      <x:c r="J291" s="59" t="n">
        <x:f>G291+H291-I291</x:f>
        <x:v>0</x:v>
      </x:c>
      <x:c r="K291" s="58" t="n">
        <x:f>J291*E291</x:f>
        <x:v>0</x:v>
      </x:c>
      <x:c r="L291" s="59"/>
      <x:c r="M291" s="53"/>
      <x:c r="N291" s="60" t="n">
        <x:f>IFERROR(MAXIFS(Purchases!$B:$B,Purchases!$D:$D,B291),"")</x:f>
        <x:v>0</x:v>
      </x:c>
      <x:c r="O291" s="50"/>
    </x:row>
    <x:row r="292">
      <x:c r="A292" s="53"/>
      <x:c r="B292" s="53"/>
      <x:c r="C292" s="53"/>
      <x:c r="D292" s="53"/>
      <x:c r="E292" s="58"/>
      <x:c r="F292" s="58"/>
      <x:c r="G292" s="59"/>
      <x:c r="H292" s="59" t="n">
        <x:f>SUMIF(Purchases!$D:$D,B292,Purchases!$F:$F)</x:f>
        <x:v>0</x:v>
      </x:c>
      <x:c r="I292" s="59" t="n">
        <x:f>SUMIF(Sales!$D:$D,B292,Sales!$G:$G)</x:f>
        <x:v>0</x:v>
      </x:c>
      <x:c r="J292" s="59" t="n">
        <x:f>G292+H292-I292</x:f>
        <x:v>0</x:v>
      </x:c>
      <x:c r="K292" s="58" t="n">
        <x:f>J292*E292</x:f>
        <x:v>0</x:v>
      </x:c>
      <x:c r="L292" s="59"/>
      <x:c r="M292" s="53"/>
      <x:c r="N292" s="60" t="n">
        <x:f>IFERROR(MAXIFS(Purchases!$B:$B,Purchases!$D:$D,B292),"")</x:f>
        <x:v>0</x:v>
      </x:c>
      <x:c r="O292" s="50"/>
    </x:row>
    <x:row r="293">
      <x:c r="A293" s="53"/>
      <x:c r="B293" s="53"/>
      <x:c r="C293" s="53"/>
      <x:c r="D293" s="53"/>
      <x:c r="E293" s="58"/>
      <x:c r="F293" s="58"/>
      <x:c r="G293" s="59"/>
      <x:c r="H293" s="59" t="n">
        <x:f>SUMIF(Purchases!$D:$D,B293,Purchases!$F:$F)</x:f>
        <x:v>0</x:v>
      </x:c>
      <x:c r="I293" s="59" t="n">
        <x:f>SUMIF(Sales!$D:$D,B293,Sales!$G:$G)</x:f>
        <x:v>0</x:v>
      </x:c>
      <x:c r="J293" s="59" t="n">
        <x:f>G293+H293-I293</x:f>
        <x:v>0</x:v>
      </x:c>
      <x:c r="K293" s="58" t="n">
        <x:f>J293*E293</x:f>
        <x:v>0</x:v>
      </x:c>
      <x:c r="L293" s="59"/>
      <x:c r="M293" s="53"/>
      <x:c r="N293" s="60" t="n">
        <x:f>IFERROR(MAXIFS(Purchases!$B:$B,Purchases!$D:$D,B293),"")</x:f>
        <x:v>0</x:v>
      </x:c>
      <x:c r="O293" s="50"/>
    </x:row>
    <x:row r="294">
      <x:c r="A294" s="53"/>
      <x:c r="B294" s="53"/>
      <x:c r="C294" s="53"/>
      <x:c r="D294" s="53"/>
      <x:c r="E294" s="58"/>
      <x:c r="F294" s="58"/>
      <x:c r="G294" s="59"/>
      <x:c r="H294" s="59" t="n">
        <x:f>SUMIF(Purchases!$D:$D,B294,Purchases!$F:$F)</x:f>
        <x:v>0</x:v>
      </x:c>
      <x:c r="I294" s="59" t="n">
        <x:f>SUMIF(Sales!$D:$D,B294,Sales!$G:$G)</x:f>
        <x:v>0</x:v>
      </x:c>
      <x:c r="J294" s="59" t="n">
        <x:f>G294+H294-I294</x:f>
        <x:v>0</x:v>
      </x:c>
      <x:c r="K294" s="58" t="n">
        <x:f>J294*E294</x:f>
        <x:v>0</x:v>
      </x:c>
      <x:c r="L294" s="59"/>
      <x:c r="M294" s="53"/>
      <x:c r="N294" s="60" t="n">
        <x:f>IFERROR(MAXIFS(Purchases!$B:$B,Purchases!$D:$D,B294),"")</x:f>
        <x:v>0</x:v>
      </x:c>
      <x:c r="O294" s="50"/>
    </x:row>
    <x:row r="295">
      <x:c r="A295" s="53"/>
      <x:c r="B295" s="53"/>
      <x:c r="C295" s="53"/>
      <x:c r="D295" s="53"/>
      <x:c r="E295" s="58"/>
      <x:c r="F295" s="58"/>
      <x:c r="G295" s="59"/>
      <x:c r="H295" s="59" t="n">
        <x:f>SUMIF(Purchases!$D:$D,B295,Purchases!$F:$F)</x:f>
        <x:v>0</x:v>
      </x:c>
      <x:c r="I295" s="59" t="n">
        <x:f>SUMIF(Sales!$D:$D,B295,Sales!$G:$G)</x:f>
        <x:v>0</x:v>
      </x:c>
      <x:c r="J295" s="59" t="n">
        <x:f>G295+H295-I295</x:f>
        <x:v>0</x:v>
      </x:c>
      <x:c r="K295" s="58" t="n">
        <x:f>J295*E295</x:f>
        <x:v>0</x:v>
      </x:c>
      <x:c r="L295" s="59"/>
      <x:c r="M295" s="53"/>
      <x:c r="N295" s="60" t="n">
        <x:f>IFERROR(MAXIFS(Purchases!$B:$B,Purchases!$D:$D,B295),"")</x:f>
        <x:v>0</x:v>
      </x:c>
      <x:c r="O295" s="50"/>
    </x:row>
    <x:row r="296">
      <x:c r="A296" s="53"/>
      <x:c r="B296" s="53"/>
      <x:c r="C296" s="53"/>
      <x:c r="D296" s="53"/>
      <x:c r="E296" s="58"/>
      <x:c r="F296" s="58"/>
      <x:c r="G296" s="59"/>
      <x:c r="H296" s="59" t="n">
        <x:f>SUMIF(Purchases!$D:$D,B296,Purchases!$F:$F)</x:f>
        <x:v>0</x:v>
      </x:c>
      <x:c r="I296" s="59" t="n">
        <x:f>SUMIF(Sales!$D:$D,B296,Sales!$G:$G)</x:f>
        <x:v>0</x:v>
      </x:c>
      <x:c r="J296" s="59" t="n">
        <x:f>G296+H296-I296</x:f>
        <x:v>0</x:v>
      </x:c>
      <x:c r="K296" s="58" t="n">
        <x:f>J296*E296</x:f>
        <x:v>0</x:v>
      </x:c>
      <x:c r="L296" s="59"/>
      <x:c r="M296" s="53"/>
      <x:c r="N296" s="60" t="n">
        <x:f>IFERROR(MAXIFS(Purchases!$B:$B,Purchases!$D:$D,B296),"")</x:f>
        <x:v>0</x:v>
      </x:c>
      <x:c r="O296" s="50"/>
    </x:row>
    <x:row r="297">
      <x:c r="A297" s="53"/>
      <x:c r="B297" s="53"/>
      <x:c r="C297" s="53"/>
      <x:c r="D297" s="53"/>
      <x:c r="E297" s="58"/>
      <x:c r="F297" s="58"/>
      <x:c r="G297" s="59"/>
      <x:c r="H297" s="59" t="n">
        <x:f>SUMIF(Purchases!$D:$D,B297,Purchases!$F:$F)</x:f>
        <x:v>0</x:v>
      </x:c>
      <x:c r="I297" s="59" t="n">
        <x:f>SUMIF(Sales!$D:$D,B297,Sales!$G:$G)</x:f>
        <x:v>0</x:v>
      </x:c>
      <x:c r="J297" s="59" t="n">
        <x:f>G297+H297-I297</x:f>
        <x:v>0</x:v>
      </x:c>
      <x:c r="K297" s="58" t="n">
        <x:f>J297*E297</x:f>
        <x:v>0</x:v>
      </x:c>
      <x:c r="L297" s="59"/>
      <x:c r="M297" s="53"/>
      <x:c r="N297" s="60" t="n">
        <x:f>IFERROR(MAXIFS(Purchases!$B:$B,Purchases!$D:$D,B297),"")</x:f>
        <x:v>0</x:v>
      </x:c>
      <x:c r="O297" s="50"/>
    </x:row>
    <x:row r="298">
      <x:c r="A298" s="53"/>
      <x:c r="B298" s="53"/>
      <x:c r="C298" s="53"/>
      <x:c r="D298" s="53"/>
      <x:c r="E298" s="58"/>
      <x:c r="F298" s="58"/>
      <x:c r="G298" s="59"/>
      <x:c r="H298" s="59" t="n">
        <x:f>SUMIF(Purchases!$D:$D,B298,Purchases!$F:$F)</x:f>
        <x:v>0</x:v>
      </x:c>
      <x:c r="I298" s="59" t="n">
        <x:f>SUMIF(Sales!$D:$D,B298,Sales!$G:$G)</x:f>
        <x:v>0</x:v>
      </x:c>
      <x:c r="J298" s="59" t="n">
        <x:f>G298+H298-I298</x:f>
        <x:v>0</x:v>
      </x:c>
      <x:c r="K298" s="58" t="n">
        <x:f>J298*E298</x:f>
        <x:v>0</x:v>
      </x:c>
      <x:c r="L298" s="59"/>
      <x:c r="M298" s="53"/>
      <x:c r="N298" s="60" t="n">
        <x:f>IFERROR(MAXIFS(Purchases!$B:$B,Purchases!$D:$D,B298),"")</x:f>
        <x:v>0</x:v>
      </x:c>
      <x:c r="O298" s="50"/>
    </x:row>
    <x:row r="299">
      <x:c r="A299" s="53"/>
      <x:c r="B299" s="53"/>
      <x:c r="C299" s="53"/>
      <x:c r="D299" s="53"/>
      <x:c r="E299" s="58"/>
      <x:c r="F299" s="58"/>
      <x:c r="G299" s="59"/>
      <x:c r="H299" s="59" t="n">
        <x:f>SUMIF(Purchases!$D:$D,B299,Purchases!$F:$F)</x:f>
        <x:v>0</x:v>
      </x:c>
      <x:c r="I299" s="59" t="n">
        <x:f>SUMIF(Sales!$D:$D,B299,Sales!$G:$G)</x:f>
        <x:v>0</x:v>
      </x:c>
      <x:c r="J299" s="59" t="n">
        <x:f>G299+H299-I299</x:f>
        <x:v>0</x:v>
      </x:c>
      <x:c r="K299" s="58" t="n">
        <x:f>J299*E299</x:f>
        <x:v>0</x:v>
      </x:c>
      <x:c r="L299" s="59"/>
      <x:c r="M299" s="53"/>
      <x:c r="N299" s="60" t="n">
        <x:f>IFERROR(MAXIFS(Purchases!$B:$B,Purchases!$D:$D,B299),"")</x:f>
        <x:v>0</x:v>
      </x:c>
      <x:c r="O299" s="50"/>
    </x:row>
    <x:row r="300">
      <x:c r="A300" s="53"/>
      <x:c r="B300" s="53"/>
      <x:c r="C300" s="53"/>
      <x:c r="D300" s="53"/>
      <x:c r="E300" s="58"/>
      <x:c r="F300" s="58"/>
      <x:c r="G300" s="59"/>
      <x:c r="H300" s="59" t="n">
        <x:f>SUMIF(Purchases!$D:$D,B300,Purchases!$F:$F)</x:f>
        <x:v>0</x:v>
      </x:c>
      <x:c r="I300" s="59" t="n">
        <x:f>SUMIF(Sales!$D:$D,B300,Sales!$G:$G)</x:f>
        <x:v>0</x:v>
      </x:c>
      <x:c r="J300" s="59" t="n">
        <x:f>G300+H300-I300</x:f>
        <x:v>0</x:v>
      </x:c>
      <x:c r="K300" s="58" t="n">
        <x:f>J300*E300</x:f>
        <x:v>0</x:v>
      </x:c>
      <x:c r="L300" s="59"/>
      <x:c r="M300" s="53"/>
      <x:c r="N300" s="60" t="n">
        <x:f>IFERROR(MAXIFS(Purchases!$B:$B,Purchases!$D:$D,B300),"")</x:f>
        <x:v>0</x:v>
      </x:c>
      <x:c r="O300" s="50"/>
    </x:row>
    <x:row r="301">
      <x:c r="A301" s="53"/>
      <x:c r="B301" s="53"/>
      <x:c r="C301" s="53"/>
      <x:c r="D301" s="53"/>
      <x:c r="E301" s="58"/>
      <x:c r="F301" s="58"/>
      <x:c r="G301" s="59"/>
      <x:c r="H301" s="59" t="n">
        <x:f>SUMIF(Purchases!$D:$D,B301,Purchases!$F:$F)</x:f>
        <x:v>0</x:v>
      </x:c>
      <x:c r="I301" s="59" t="n">
        <x:f>SUMIF(Sales!$D:$D,B301,Sales!$G:$G)</x:f>
        <x:v>0</x:v>
      </x:c>
      <x:c r="J301" s="59" t="n">
        <x:f>G301+H301-I301</x:f>
        <x:v>0</x:v>
      </x:c>
      <x:c r="K301" s="58" t="n">
        <x:f>J301*E301</x:f>
        <x:v>0</x:v>
      </x:c>
      <x:c r="L301" s="59"/>
      <x:c r="M301" s="53"/>
      <x:c r="N301" s="60" t="n">
        <x:f>IFERROR(MAXIFS(Purchases!$B:$B,Purchases!$D:$D,B301),"")</x:f>
        <x:v>0</x:v>
      </x:c>
      <x:c r="O301" s="50"/>
    </x:row>
    <x:row r="302">
      <x:c r="A302" s="53"/>
      <x:c r="B302" s="53"/>
      <x:c r="C302" s="53"/>
      <x:c r="D302" s="53"/>
      <x:c r="E302" s="58"/>
      <x:c r="F302" s="58"/>
      <x:c r="G302" s="59"/>
      <x:c r="H302" s="59" t="n">
        <x:f>SUMIF(Purchases!$D:$D,B302,Purchases!$F:$F)</x:f>
        <x:v>0</x:v>
      </x:c>
      <x:c r="I302" s="59" t="n">
        <x:f>SUMIF(Sales!$D:$D,B302,Sales!$G:$G)</x:f>
        <x:v>0</x:v>
      </x:c>
      <x:c r="J302" s="59" t="n">
        <x:f>G302+H302-I302</x:f>
        <x:v>0</x:v>
      </x:c>
      <x:c r="K302" s="58" t="n">
        <x:f>J302*E302</x:f>
        <x:v>0</x:v>
      </x:c>
      <x:c r="L302" s="59"/>
      <x:c r="M302" s="53"/>
      <x:c r="N302" s="60" t="n">
        <x:f>IFERROR(MAXIFS(Purchases!$B:$B,Purchases!$D:$D,B302),"")</x:f>
        <x:v>0</x:v>
      </x:c>
      <x:c r="O302" s="50"/>
    </x:row>
    <x:row r="303">
      <x:c r="A303" s="53"/>
      <x:c r="B303" s="53"/>
      <x:c r="C303" s="53"/>
      <x:c r="D303" s="53"/>
      <x:c r="E303" s="58"/>
      <x:c r="F303" s="58"/>
      <x:c r="G303" s="59"/>
      <x:c r="H303" s="59" t="n">
        <x:f>SUMIF(Purchases!$D:$D,B303,Purchases!$F:$F)</x:f>
        <x:v>0</x:v>
      </x:c>
      <x:c r="I303" s="59" t="n">
        <x:f>SUMIF(Sales!$D:$D,B303,Sales!$G:$G)</x:f>
        <x:v>0</x:v>
      </x:c>
      <x:c r="J303" s="59" t="n">
        <x:f>G303+H303-I303</x:f>
        <x:v>0</x:v>
      </x:c>
      <x:c r="K303" s="58" t="n">
        <x:f>J303*E303</x:f>
        <x:v>0</x:v>
      </x:c>
      <x:c r="L303" s="59"/>
      <x:c r="M303" s="53"/>
      <x:c r="N303" s="60" t="n">
        <x:f>IFERROR(MAXIFS(Purchases!$B:$B,Purchases!$D:$D,B303),"")</x:f>
        <x:v>0</x:v>
      </x:c>
      <x:c r="O303" s="50"/>
    </x:row>
    <x:row r="304">
      <x:c r="A304" s="53"/>
      <x:c r="B304" s="53"/>
      <x:c r="C304" s="53"/>
      <x:c r="D304" s="53"/>
      <x:c r="E304" s="58"/>
      <x:c r="F304" s="58"/>
      <x:c r="G304" s="59"/>
      <x:c r="H304" s="59" t="n">
        <x:f>SUMIF(Purchases!$D:$D,B304,Purchases!$F:$F)</x:f>
        <x:v>0</x:v>
      </x:c>
      <x:c r="I304" s="59" t="n">
        <x:f>SUMIF(Sales!$D:$D,B304,Sales!$G:$G)</x:f>
        <x:v>0</x:v>
      </x:c>
      <x:c r="J304" s="59" t="n">
        <x:f>G304+H304-I304</x:f>
        <x:v>0</x:v>
      </x:c>
      <x:c r="K304" s="58" t="n">
        <x:f>J304*E304</x:f>
        <x:v>0</x:v>
      </x:c>
      <x:c r="L304" s="59"/>
      <x:c r="M304" s="53"/>
      <x:c r="N304" s="60" t="n">
        <x:f>IFERROR(MAXIFS(Purchases!$B:$B,Purchases!$D:$D,B304),"")</x:f>
        <x:v>0</x:v>
      </x:c>
      <x:c r="O304" s="50"/>
    </x:row>
    <x:row r="305">
      <x:c r="A305" s="53"/>
      <x:c r="B305" s="53"/>
      <x:c r="C305" s="53"/>
      <x:c r="D305" s="53"/>
      <x:c r="E305" s="58"/>
      <x:c r="F305" s="58"/>
      <x:c r="G305" s="59"/>
      <x:c r="H305" s="59" t="n">
        <x:f>SUMIF(Purchases!$D:$D,B305,Purchases!$F:$F)</x:f>
        <x:v>0</x:v>
      </x:c>
      <x:c r="I305" s="59" t="n">
        <x:f>SUMIF(Sales!$D:$D,B305,Sales!$G:$G)</x:f>
        <x:v>0</x:v>
      </x:c>
      <x:c r="J305" s="59" t="n">
        <x:f>G305+H305-I305</x:f>
        <x:v>0</x:v>
      </x:c>
      <x:c r="K305" s="58" t="n">
        <x:f>J305*E305</x:f>
        <x:v>0</x:v>
      </x:c>
      <x:c r="L305" s="59"/>
      <x:c r="M305" s="53"/>
      <x:c r="N305" s="60" t="n">
        <x:f>IFERROR(MAXIFS(Purchases!$B:$B,Purchases!$D:$D,B305),"")</x:f>
        <x:v>0</x:v>
      </x:c>
      <x:c r="O305" s="50"/>
    </x:row>
    <x:row r="306">
      <x:c r="A306" s="53"/>
      <x:c r="B306" s="53"/>
      <x:c r="C306" s="53"/>
      <x:c r="D306" s="53"/>
      <x:c r="E306" s="58"/>
      <x:c r="F306" s="58"/>
      <x:c r="G306" s="59"/>
      <x:c r="H306" s="59" t="n">
        <x:f>SUMIF(Purchases!$D:$D,B306,Purchases!$F:$F)</x:f>
        <x:v>0</x:v>
      </x:c>
      <x:c r="I306" s="59" t="n">
        <x:f>SUMIF(Sales!$D:$D,B306,Sales!$G:$G)</x:f>
        <x:v>0</x:v>
      </x:c>
      <x:c r="J306" s="59" t="n">
        <x:f>G306+H306-I306</x:f>
        <x:v>0</x:v>
      </x:c>
      <x:c r="K306" s="58" t="n">
        <x:f>J306*E306</x:f>
        <x:v>0</x:v>
      </x:c>
      <x:c r="L306" s="59"/>
      <x:c r="M306" s="53"/>
      <x:c r="N306" s="60" t="n">
        <x:f>IFERROR(MAXIFS(Purchases!$B:$B,Purchases!$D:$D,B306),"")</x:f>
        <x:v>0</x:v>
      </x:c>
      <x:c r="O306" s="50"/>
    </x:row>
    <x:row r="307">
      <x:c r="A307" s="53"/>
      <x:c r="B307" s="53"/>
      <x:c r="C307" s="53"/>
      <x:c r="D307" s="53"/>
      <x:c r="E307" s="58"/>
      <x:c r="F307" s="58"/>
      <x:c r="G307" s="59"/>
      <x:c r="H307" s="59" t="n">
        <x:f>SUMIF(Purchases!$D:$D,B307,Purchases!$F:$F)</x:f>
        <x:v>0</x:v>
      </x:c>
      <x:c r="I307" s="59" t="n">
        <x:f>SUMIF(Sales!$D:$D,B307,Sales!$G:$G)</x:f>
        <x:v>0</x:v>
      </x:c>
      <x:c r="J307" s="59" t="n">
        <x:f>G307+H307-I307</x:f>
        <x:v>0</x:v>
      </x:c>
      <x:c r="K307" s="58" t="n">
        <x:f>J307*E307</x:f>
        <x:v>0</x:v>
      </x:c>
      <x:c r="L307" s="59"/>
      <x:c r="M307" s="53"/>
      <x:c r="N307" s="60" t="n">
        <x:f>IFERROR(MAXIFS(Purchases!$B:$B,Purchases!$D:$D,B307),"")</x:f>
        <x:v>0</x:v>
      </x:c>
      <x:c r="O307" s="50"/>
    </x:row>
    <x:row r="308">
      <x:c r="A308" s="53"/>
      <x:c r="B308" s="53"/>
      <x:c r="C308" s="53"/>
      <x:c r="D308" s="53"/>
      <x:c r="E308" s="58"/>
      <x:c r="F308" s="58"/>
      <x:c r="G308" s="59"/>
      <x:c r="H308" s="59" t="n">
        <x:f>SUMIF(Purchases!$D:$D,B308,Purchases!$F:$F)</x:f>
        <x:v>0</x:v>
      </x:c>
      <x:c r="I308" s="59" t="n">
        <x:f>SUMIF(Sales!$D:$D,B308,Sales!$G:$G)</x:f>
        <x:v>0</x:v>
      </x:c>
      <x:c r="J308" s="59" t="n">
        <x:f>G308+H308-I308</x:f>
        <x:v>0</x:v>
      </x:c>
      <x:c r="K308" s="58" t="n">
        <x:f>J308*E308</x:f>
        <x:v>0</x:v>
      </x:c>
      <x:c r="L308" s="59"/>
      <x:c r="M308" s="53"/>
      <x:c r="N308" s="60" t="n">
        <x:f>IFERROR(MAXIFS(Purchases!$B:$B,Purchases!$D:$D,B308),"")</x:f>
        <x:v>0</x:v>
      </x:c>
      <x:c r="O308" s="50"/>
    </x:row>
    <x:row r="309">
      <x:c r="A309" s="53"/>
      <x:c r="B309" s="53"/>
      <x:c r="C309" s="53"/>
      <x:c r="D309" s="53"/>
      <x:c r="E309" s="58"/>
      <x:c r="F309" s="58"/>
      <x:c r="G309" s="59"/>
      <x:c r="H309" s="59" t="n">
        <x:f>SUMIF(Purchases!$D:$D,B309,Purchases!$F:$F)</x:f>
        <x:v>0</x:v>
      </x:c>
      <x:c r="I309" s="59" t="n">
        <x:f>SUMIF(Sales!$D:$D,B309,Sales!$G:$G)</x:f>
        <x:v>0</x:v>
      </x:c>
      <x:c r="J309" s="59" t="n">
        <x:f>G309+H309-I309</x:f>
        <x:v>0</x:v>
      </x:c>
      <x:c r="K309" s="58" t="n">
        <x:f>J309*E309</x:f>
        <x:v>0</x:v>
      </x:c>
      <x:c r="L309" s="59"/>
      <x:c r="M309" s="53"/>
      <x:c r="N309" s="60" t="n">
        <x:f>IFERROR(MAXIFS(Purchases!$B:$B,Purchases!$D:$D,B309),"")</x:f>
        <x:v>0</x:v>
      </x:c>
      <x:c r="O309" s="50"/>
    </x:row>
    <x:row r="310">
      <x:c r="A310" s="53"/>
      <x:c r="B310" s="53"/>
      <x:c r="C310" s="53"/>
      <x:c r="D310" s="53"/>
      <x:c r="E310" s="58"/>
      <x:c r="F310" s="58"/>
      <x:c r="G310" s="59"/>
      <x:c r="H310" s="59" t="n">
        <x:f>SUMIF(Purchases!$D:$D,B310,Purchases!$F:$F)</x:f>
        <x:v>0</x:v>
      </x:c>
      <x:c r="I310" s="59" t="n">
        <x:f>SUMIF(Sales!$D:$D,B310,Sales!$G:$G)</x:f>
        <x:v>0</x:v>
      </x:c>
      <x:c r="J310" s="59" t="n">
        <x:f>G310+H310-I310</x:f>
        <x:v>0</x:v>
      </x:c>
      <x:c r="K310" s="58" t="n">
        <x:f>J310*E310</x:f>
        <x:v>0</x:v>
      </x:c>
      <x:c r="L310" s="59"/>
      <x:c r="M310" s="53"/>
      <x:c r="N310" s="60" t="n">
        <x:f>IFERROR(MAXIFS(Purchases!$B:$B,Purchases!$D:$D,B310),"")</x:f>
        <x:v>0</x:v>
      </x:c>
      <x:c r="O310" s="50"/>
    </x:row>
    <x:row r="311">
      <x:c r="A311" s="53"/>
      <x:c r="B311" s="53"/>
      <x:c r="C311" s="53"/>
      <x:c r="D311" s="53"/>
      <x:c r="E311" s="58"/>
      <x:c r="F311" s="58"/>
      <x:c r="G311" s="59"/>
      <x:c r="H311" s="59" t="n">
        <x:f>SUMIF(Purchases!$D:$D,B311,Purchases!$F:$F)</x:f>
        <x:v>0</x:v>
      </x:c>
      <x:c r="I311" s="59" t="n">
        <x:f>SUMIF(Sales!$D:$D,B311,Sales!$G:$G)</x:f>
        <x:v>0</x:v>
      </x:c>
      <x:c r="J311" s="59" t="n">
        <x:f>G311+H311-I311</x:f>
        <x:v>0</x:v>
      </x:c>
      <x:c r="K311" s="58" t="n">
        <x:f>J311*E311</x:f>
        <x:v>0</x:v>
      </x:c>
      <x:c r="L311" s="59"/>
      <x:c r="M311" s="53"/>
      <x:c r="N311" s="60" t="n">
        <x:f>IFERROR(MAXIFS(Purchases!$B:$B,Purchases!$D:$D,B311),"")</x:f>
        <x:v>0</x:v>
      </x:c>
      <x:c r="O311" s="50"/>
    </x:row>
    <x:row r="312">
      <x:c r="A312" s="53"/>
      <x:c r="B312" s="53"/>
      <x:c r="C312" s="53"/>
      <x:c r="D312" s="53"/>
      <x:c r="E312" s="58"/>
      <x:c r="F312" s="58"/>
      <x:c r="G312" s="59"/>
      <x:c r="H312" s="59" t="n">
        <x:f>SUMIF(Purchases!$D:$D,B312,Purchases!$F:$F)</x:f>
        <x:v>0</x:v>
      </x:c>
      <x:c r="I312" s="59" t="n">
        <x:f>SUMIF(Sales!$D:$D,B312,Sales!$G:$G)</x:f>
        <x:v>0</x:v>
      </x:c>
      <x:c r="J312" s="59" t="n">
        <x:f>G312+H312-I312</x:f>
        <x:v>0</x:v>
      </x:c>
      <x:c r="K312" s="58" t="n">
        <x:f>J312*E312</x:f>
        <x:v>0</x:v>
      </x:c>
      <x:c r="L312" s="59"/>
      <x:c r="M312" s="53"/>
      <x:c r="N312" s="60" t="n">
        <x:f>IFERROR(MAXIFS(Purchases!$B:$B,Purchases!$D:$D,B312),"")</x:f>
        <x:v>0</x:v>
      </x:c>
      <x:c r="O312" s="50"/>
    </x:row>
    <x:row r="313">
      <x:c r="A313" s="53"/>
      <x:c r="B313" s="53"/>
      <x:c r="C313" s="53"/>
      <x:c r="D313" s="53"/>
      <x:c r="E313" s="58"/>
      <x:c r="F313" s="58"/>
      <x:c r="G313" s="59"/>
      <x:c r="H313" s="59" t="n">
        <x:f>SUMIF(Purchases!$D:$D,B313,Purchases!$F:$F)</x:f>
        <x:v>0</x:v>
      </x:c>
      <x:c r="I313" s="59" t="n">
        <x:f>SUMIF(Sales!$D:$D,B313,Sales!$G:$G)</x:f>
        <x:v>0</x:v>
      </x:c>
      <x:c r="J313" s="59" t="n">
        <x:f>G313+H313-I313</x:f>
        <x:v>0</x:v>
      </x:c>
      <x:c r="K313" s="58" t="n">
        <x:f>J313*E313</x:f>
        <x:v>0</x:v>
      </x:c>
      <x:c r="L313" s="59"/>
      <x:c r="M313" s="53"/>
      <x:c r="N313" s="60" t="n">
        <x:f>IFERROR(MAXIFS(Purchases!$B:$B,Purchases!$D:$D,B313),"")</x:f>
        <x:v>0</x:v>
      </x:c>
      <x:c r="O313" s="50"/>
    </x:row>
    <x:row r="314">
      <x:c r="A314" s="53"/>
      <x:c r="B314" s="53"/>
      <x:c r="C314" s="53"/>
      <x:c r="D314" s="53"/>
      <x:c r="E314" s="58"/>
      <x:c r="F314" s="58"/>
      <x:c r="G314" s="59"/>
      <x:c r="H314" s="59" t="n">
        <x:f>SUMIF(Purchases!$D:$D,B314,Purchases!$F:$F)</x:f>
        <x:v>0</x:v>
      </x:c>
      <x:c r="I314" s="59" t="n">
        <x:f>SUMIF(Sales!$D:$D,B314,Sales!$G:$G)</x:f>
        <x:v>0</x:v>
      </x:c>
      <x:c r="J314" s="59" t="n">
        <x:f>G314+H314-I314</x:f>
        <x:v>0</x:v>
      </x:c>
      <x:c r="K314" s="58" t="n">
        <x:f>J314*E314</x:f>
        <x:v>0</x:v>
      </x:c>
      <x:c r="L314" s="59"/>
      <x:c r="M314" s="53"/>
      <x:c r="N314" s="60" t="n">
        <x:f>IFERROR(MAXIFS(Purchases!$B:$B,Purchases!$D:$D,B314),"")</x:f>
        <x:v>0</x:v>
      </x:c>
      <x:c r="O314" s="50"/>
    </x:row>
    <x:row r="315">
      <x:c r="A315" s="53"/>
      <x:c r="B315" s="53"/>
      <x:c r="C315" s="53"/>
      <x:c r="D315" s="53"/>
      <x:c r="E315" s="58"/>
      <x:c r="F315" s="58"/>
      <x:c r="G315" s="59"/>
      <x:c r="H315" s="59" t="n">
        <x:f>SUMIF(Purchases!$D:$D,B315,Purchases!$F:$F)</x:f>
        <x:v>0</x:v>
      </x:c>
      <x:c r="I315" s="59" t="n">
        <x:f>SUMIF(Sales!$D:$D,B315,Sales!$G:$G)</x:f>
        <x:v>0</x:v>
      </x:c>
      <x:c r="J315" s="59" t="n">
        <x:f>G315+H315-I315</x:f>
        <x:v>0</x:v>
      </x:c>
      <x:c r="K315" s="58" t="n">
        <x:f>J315*E315</x:f>
        <x:v>0</x:v>
      </x:c>
      <x:c r="L315" s="59"/>
      <x:c r="M315" s="53"/>
      <x:c r="N315" s="60" t="n">
        <x:f>IFERROR(MAXIFS(Purchases!$B:$B,Purchases!$D:$D,B315),"")</x:f>
        <x:v>0</x:v>
      </x:c>
      <x:c r="O315" s="50"/>
    </x:row>
    <x:row r="316">
      <x:c r="A316" s="53"/>
      <x:c r="B316" s="53"/>
      <x:c r="C316" s="53"/>
      <x:c r="D316" s="53"/>
      <x:c r="E316" s="58"/>
      <x:c r="F316" s="58"/>
      <x:c r="G316" s="59"/>
      <x:c r="H316" s="59" t="n">
        <x:f>SUMIF(Purchases!$D:$D,B316,Purchases!$F:$F)</x:f>
        <x:v>0</x:v>
      </x:c>
      <x:c r="I316" s="59" t="n">
        <x:f>SUMIF(Sales!$D:$D,B316,Sales!$G:$G)</x:f>
        <x:v>0</x:v>
      </x:c>
      <x:c r="J316" s="59" t="n">
        <x:f>G316+H316-I316</x:f>
        <x:v>0</x:v>
      </x:c>
      <x:c r="K316" s="58" t="n">
        <x:f>J316*E316</x:f>
        <x:v>0</x:v>
      </x:c>
      <x:c r="L316" s="59"/>
      <x:c r="M316" s="53"/>
      <x:c r="N316" s="60" t="n">
        <x:f>IFERROR(MAXIFS(Purchases!$B:$B,Purchases!$D:$D,B316),"")</x:f>
        <x:v>0</x:v>
      </x:c>
      <x:c r="O316" s="50"/>
    </x:row>
    <x:row r="317">
      <x:c r="A317" s="53"/>
      <x:c r="B317" s="53"/>
      <x:c r="C317" s="53"/>
      <x:c r="D317" s="53"/>
      <x:c r="E317" s="58"/>
      <x:c r="F317" s="58"/>
      <x:c r="G317" s="59"/>
      <x:c r="H317" s="59" t="n">
        <x:f>SUMIF(Purchases!$D:$D,B317,Purchases!$F:$F)</x:f>
        <x:v>0</x:v>
      </x:c>
      <x:c r="I317" s="59" t="n">
        <x:f>SUMIF(Sales!$D:$D,B317,Sales!$G:$G)</x:f>
        <x:v>0</x:v>
      </x:c>
      <x:c r="J317" s="59" t="n">
        <x:f>G317+H317-I317</x:f>
        <x:v>0</x:v>
      </x:c>
      <x:c r="K317" s="58" t="n">
        <x:f>J317*E317</x:f>
        <x:v>0</x:v>
      </x:c>
      <x:c r="L317" s="59"/>
      <x:c r="M317" s="53"/>
      <x:c r="N317" s="60" t="n">
        <x:f>IFERROR(MAXIFS(Purchases!$B:$B,Purchases!$D:$D,B317),"")</x:f>
        <x:v>0</x:v>
      </x:c>
      <x:c r="O317" s="50"/>
    </x:row>
    <x:row r="318">
      <x:c r="A318" s="53"/>
      <x:c r="B318" s="53"/>
      <x:c r="C318" s="53"/>
      <x:c r="D318" s="53"/>
      <x:c r="E318" s="58"/>
      <x:c r="F318" s="58"/>
      <x:c r="G318" s="59"/>
      <x:c r="H318" s="59" t="n">
        <x:f>SUMIF(Purchases!$D:$D,B318,Purchases!$F:$F)</x:f>
        <x:v>0</x:v>
      </x:c>
      <x:c r="I318" s="59" t="n">
        <x:f>SUMIF(Sales!$D:$D,B318,Sales!$G:$G)</x:f>
        <x:v>0</x:v>
      </x:c>
      <x:c r="J318" s="59" t="n">
        <x:f>G318+H318-I318</x:f>
        <x:v>0</x:v>
      </x:c>
      <x:c r="K318" s="58" t="n">
        <x:f>J318*E318</x:f>
        <x:v>0</x:v>
      </x:c>
      <x:c r="L318" s="59"/>
      <x:c r="M318" s="53"/>
      <x:c r="N318" s="60" t="n">
        <x:f>IFERROR(MAXIFS(Purchases!$B:$B,Purchases!$D:$D,B318),"")</x:f>
        <x:v>0</x:v>
      </x:c>
      <x:c r="O318" s="50"/>
    </x:row>
    <x:row r="319">
      <x:c r="A319" s="53"/>
      <x:c r="B319" s="53"/>
      <x:c r="C319" s="53"/>
      <x:c r="D319" s="53"/>
      <x:c r="E319" s="58"/>
      <x:c r="F319" s="58"/>
      <x:c r="G319" s="59"/>
      <x:c r="H319" s="59" t="n">
        <x:f>SUMIF(Purchases!$D:$D,B319,Purchases!$F:$F)</x:f>
        <x:v>0</x:v>
      </x:c>
      <x:c r="I319" s="59" t="n">
        <x:f>SUMIF(Sales!$D:$D,B319,Sales!$G:$G)</x:f>
        <x:v>0</x:v>
      </x:c>
      <x:c r="J319" s="59" t="n">
        <x:f>G319+H319-I319</x:f>
        <x:v>0</x:v>
      </x:c>
      <x:c r="K319" s="58" t="n">
        <x:f>J319*E319</x:f>
        <x:v>0</x:v>
      </x:c>
      <x:c r="L319" s="59"/>
      <x:c r="M319" s="53"/>
      <x:c r="N319" s="60" t="n">
        <x:f>IFERROR(MAXIFS(Purchases!$B:$B,Purchases!$D:$D,B319),"")</x:f>
        <x:v>0</x:v>
      </x:c>
      <x:c r="O319" s="50"/>
    </x:row>
    <x:row r="320">
      <x:c r="A320" s="53"/>
      <x:c r="B320" s="53"/>
      <x:c r="C320" s="53"/>
      <x:c r="D320" s="53"/>
      <x:c r="E320" s="58"/>
      <x:c r="F320" s="58"/>
      <x:c r="G320" s="59"/>
      <x:c r="H320" s="59" t="n">
        <x:f>SUMIF(Purchases!$D:$D,B320,Purchases!$F:$F)</x:f>
        <x:v>0</x:v>
      </x:c>
      <x:c r="I320" s="59" t="n">
        <x:f>SUMIF(Sales!$D:$D,B320,Sales!$G:$G)</x:f>
        <x:v>0</x:v>
      </x:c>
      <x:c r="J320" s="59" t="n">
        <x:f>G320+H320-I320</x:f>
        <x:v>0</x:v>
      </x:c>
      <x:c r="K320" s="58" t="n">
        <x:f>J320*E320</x:f>
        <x:v>0</x:v>
      </x:c>
      <x:c r="L320" s="59"/>
      <x:c r="M320" s="53"/>
      <x:c r="N320" s="60" t="n">
        <x:f>IFERROR(MAXIFS(Purchases!$B:$B,Purchases!$D:$D,B320),"")</x:f>
        <x:v>0</x:v>
      </x:c>
      <x:c r="O320" s="50"/>
    </x:row>
    <x:row r="321">
      <x:c r="A321" s="53"/>
      <x:c r="B321" s="53"/>
      <x:c r="C321" s="53"/>
      <x:c r="D321" s="53"/>
      <x:c r="E321" s="58"/>
      <x:c r="F321" s="58"/>
      <x:c r="G321" s="59"/>
      <x:c r="H321" s="59" t="n">
        <x:f>SUMIF(Purchases!$D:$D,B321,Purchases!$F:$F)</x:f>
        <x:v>0</x:v>
      </x:c>
      <x:c r="I321" s="59" t="n">
        <x:f>SUMIF(Sales!$D:$D,B321,Sales!$G:$G)</x:f>
        <x:v>0</x:v>
      </x:c>
      <x:c r="J321" s="59" t="n">
        <x:f>G321+H321-I321</x:f>
        <x:v>0</x:v>
      </x:c>
      <x:c r="K321" s="58" t="n">
        <x:f>J321*E321</x:f>
        <x:v>0</x:v>
      </x:c>
      <x:c r="L321" s="59"/>
      <x:c r="M321" s="53"/>
      <x:c r="N321" s="60" t="n">
        <x:f>IFERROR(MAXIFS(Purchases!$B:$B,Purchases!$D:$D,B321),"")</x:f>
        <x:v>0</x:v>
      </x:c>
      <x:c r="O321" s="50"/>
    </x:row>
    <x:row r="322">
      <x:c r="A322" s="53"/>
      <x:c r="B322" s="53"/>
      <x:c r="C322" s="53"/>
      <x:c r="D322" s="53"/>
      <x:c r="E322" s="58"/>
      <x:c r="F322" s="58"/>
      <x:c r="G322" s="59"/>
      <x:c r="H322" s="59" t="n">
        <x:f>SUMIF(Purchases!$D:$D,B322,Purchases!$F:$F)</x:f>
        <x:v>0</x:v>
      </x:c>
      <x:c r="I322" s="59" t="n">
        <x:f>SUMIF(Sales!$D:$D,B322,Sales!$G:$G)</x:f>
        <x:v>0</x:v>
      </x:c>
      <x:c r="J322" s="59" t="n">
        <x:f>G322+H322-I322</x:f>
        <x:v>0</x:v>
      </x:c>
      <x:c r="K322" s="58" t="n">
        <x:f>J322*E322</x:f>
        <x:v>0</x:v>
      </x:c>
      <x:c r="L322" s="59"/>
      <x:c r="M322" s="53"/>
      <x:c r="N322" s="60" t="n">
        <x:f>IFERROR(MAXIFS(Purchases!$B:$B,Purchases!$D:$D,B322),"")</x:f>
        <x:v>0</x:v>
      </x:c>
      <x:c r="O322" s="50"/>
    </x:row>
    <x:row r="323">
      <x:c r="A323" s="53"/>
      <x:c r="B323" s="53"/>
      <x:c r="C323" s="53"/>
      <x:c r="D323" s="53"/>
      <x:c r="E323" s="58"/>
      <x:c r="F323" s="58"/>
      <x:c r="G323" s="59"/>
      <x:c r="H323" s="59" t="n">
        <x:f>SUMIF(Purchases!$D:$D,B323,Purchases!$F:$F)</x:f>
        <x:v>0</x:v>
      </x:c>
      <x:c r="I323" s="59" t="n">
        <x:f>SUMIF(Sales!$D:$D,B323,Sales!$G:$G)</x:f>
        <x:v>0</x:v>
      </x:c>
      <x:c r="J323" s="59" t="n">
        <x:f>G323+H323-I323</x:f>
        <x:v>0</x:v>
      </x:c>
      <x:c r="K323" s="58" t="n">
        <x:f>J323*E323</x:f>
        <x:v>0</x:v>
      </x:c>
      <x:c r="L323" s="59"/>
      <x:c r="M323" s="53"/>
      <x:c r="N323" s="60" t="n">
        <x:f>IFERROR(MAXIFS(Purchases!$B:$B,Purchases!$D:$D,B323),"")</x:f>
        <x:v>0</x:v>
      </x:c>
      <x:c r="O323" s="50"/>
    </x:row>
    <x:row r="324">
      <x:c r="A324" s="53"/>
      <x:c r="B324" s="53"/>
      <x:c r="C324" s="53"/>
      <x:c r="D324" s="53"/>
      <x:c r="E324" s="58"/>
      <x:c r="F324" s="58"/>
      <x:c r="G324" s="59"/>
      <x:c r="H324" s="59" t="n">
        <x:f>SUMIF(Purchases!$D:$D,B324,Purchases!$F:$F)</x:f>
        <x:v>0</x:v>
      </x:c>
      <x:c r="I324" s="59" t="n">
        <x:f>SUMIF(Sales!$D:$D,B324,Sales!$G:$G)</x:f>
        <x:v>0</x:v>
      </x:c>
      <x:c r="J324" s="59" t="n">
        <x:f>G324+H324-I324</x:f>
        <x:v>0</x:v>
      </x:c>
      <x:c r="K324" s="58" t="n">
        <x:f>J324*E324</x:f>
        <x:v>0</x:v>
      </x:c>
      <x:c r="L324" s="59"/>
      <x:c r="M324" s="53"/>
      <x:c r="N324" s="60" t="n">
        <x:f>IFERROR(MAXIFS(Purchases!$B:$B,Purchases!$D:$D,B324),"")</x:f>
        <x:v>0</x:v>
      </x:c>
      <x:c r="O324" s="50"/>
    </x:row>
    <x:row r="325">
      <x:c r="A325" s="53"/>
      <x:c r="B325" s="53"/>
      <x:c r="C325" s="53"/>
      <x:c r="D325" s="53"/>
      <x:c r="E325" s="58"/>
      <x:c r="F325" s="58"/>
      <x:c r="G325" s="59"/>
      <x:c r="H325" s="59" t="n">
        <x:f>SUMIF(Purchases!$D:$D,B325,Purchases!$F:$F)</x:f>
        <x:v>0</x:v>
      </x:c>
      <x:c r="I325" s="59" t="n">
        <x:f>SUMIF(Sales!$D:$D,B325,Sales!$G:$G)</x:f>
        <x:v>0</x:v>
      </x:c>
      <x:c r="J325" s="59" t="n">
        <x:f>G325+H325-I325</x:f>
        <x:v>0</x:v>
      </x:c>
      <x:c r="K325" s="58" t="n">
        <x:f>J325*E325</x:f>
        <x:v>0</x:v>
      </x:c>
      <x:c r="L325" s="59"/>
      <x:c r="M325" s="53"/>
      <x:c r="N325" s="60" t="n">
        <x:f>IFERROR(MAXIFS(Purchases!$B:$B,Purchases!$D:$D,B325),"")</x:f>
        <x:v>0</x:v>
      </x:c>
      <x:c r="O325" s="50"/>
    </x:row>
    <x:row r="326">
      <x:c r="A326" s="53"/>
      <x:c r="B326" s="53"/>
      <x:c r="C326" s="53"/>
      <x:c r="D326" s="53"/>
      <x:c r="E326" s="58"/>
      <x:c r="F326" s="58"/>
      <x:c r="G326" s="59"/>
      <x:c r="H326" s="59" t="n">
        <x:f>SUMIF(Purchases!$D:$D,B326,Purchases!$F:$F)</x:f>
        <x:v>0</x:v>
      </x:c>
      <x:c r="I326" s="59" t="n">
        <x:f>SUMIF(Sales!$D:$D,B326,Sales!$G:$G)</x:f>
        <x:v>0</x:v>
      </x:c>
      <x:c r="J326" s="59" t="n">
        <x:f>G326+H326-I326</x:f>
        <x:v>0</x:v>
      </x:c>
      <x:c r="K326" s="58" t="n">
        <x:f>J326*E326</x:f>
        <x:v>0</x:v>
      </x:c>
      <x:c r="L326" s="59"/>
      <x:c r="M326" s="53"/>
      <x:c r="N326" s="60" t="n">
        <x:f>IFERROR(MAXIFS(Purchases!$B:$B,Purchases!$D:$D,B326),"")</x:f>
        <x:v>0</x:v>
      </x:c>
      <x:c r="O326" s="50"/>
    </x:row>
    <x:row r="327">
      <x:c r="A327" s="53"/>
      <x:c r="B327" s="53"/>
      <x:c r="C327" s="53"/>
      <x:c r="D327" s="53"/>
      <x:c r="E327" s="58"/>
      <x:c r="F327" s="58"/>
      <x:c r="G327" s="59"/>
      <x:c r="H327" s="59" t="n">
        <x:f>SUMIF(Purchases!$D:$D,B327,Purchases!$F:$F)</x:f>
        <x:v>0</x:v>
      </x:c>
      <x:c r="I327" s="59" t="n">
        <x:f>SUMIF(Sales!$D:$D,B327,Sales!$G:$G)</x:f>
        <x:v>0</x:v>
      </x:c>
      <x:c r="J327" s="59" t="n">
        <x:f>G327+H327-I327</x:f>
        <x:v>0</x:v>
      </x:c>
      <x:c r="K327" s="58" t="n">
        <x:f>J327*E327</x:f>
        <x:v>0</x:v>
      </x:c>
      <x:c r="L327" s="59"/>
      <x:c r="M327" s="53"/>
      <x:c r="N327" s="60" t="n">
        <x:f>IFERROR(MAXIFS(Purchases!$B:$B,Purchases!$D:$D,B327),"")</x:f>
        <x:v>0</x:v>
      </x:c>
      <x:c r="O327" s="50"/>
    </x:row>
    <x:row r="328">
      <x:c r="A328" s="53"/>
      <x:c r="B328" s="53"/>
      <x:c r="C328" s="53"/>
      <x:c r="D328" s="53"/>
      <x:c r="E328" s="58"/>
      <x:c r="F328" s="58"/>
      <x:c r="G328" s="59"/>
      <x:c r="H328" s="59" t="n">
        <x:f>SUMIF(Purchases!$D:$D,B328,Purchases!$F:$F)</x:f>
        <x:v>0</x:v>
      </x:c>
      <x:c r="I328" s="59" t="n">
        <x:f>SUMIF(Sales!$D:$D,B328,Sales!$G:$G)</x:f>
        <x:v>0</x:v>
      </x:c>
      <x:c r="J328" s="59" t="n">
        <x:f>G328+H328-I328</x:f>
        <x:v>0</x:v>
      </x:c>
      <x:c r="K328" s="58" t="n">
        <x:f>J328*E328</x:f>
        <x:v>0</x:v>
      </x:c>
      <x:c r="L328" s="59"/>
      <x:c r="M328" s="53"/>
      <x:c r="N328" s="60" t="n">
        <x:f>IFERROR(MAXIFS(Purchases!$B:$B,Purchases!$D:$D,B328),"")</x:f>
        <x:v>0</x:v>
      </x:c>
      <x:c r="O328" s="50"/>
    </x:row>
    <x:row r="329">
      <x:c r="A329" s="53"/>
      <x:c r="B329" s="53"/>
      <x:c r="C329" s="53"/>
      <x:c r="D329" s="53"/>
      <x:c r="E329" s="58"/>
      <x:c r="F329" s="58"/>
      <x:c r="G329" s="59"/>
      <x:c r="H329" s="59" t="n">
        <x:f>SUMIF(Purchases!$D:$D,B329,Purchases!$F:$F)</x:f>
        <x:v>0</x:v>
      </x:c>
      <x:c r="I329" s="59" t="n">
        <x:f>SUMIF(Sales!$D:$D,B329,Sales!$G:$G)</x:f>
        <x:v>0</x:v>
      </x:c>
      <x:c r="J329" s="59" t="n">
        <x:f>G329+H329-I329</x:f>
        <x:v>0</x:v>
      </x:c>
      <x:c r="K329" s="58" t="n">
        <x:f>J329*E329</x:f>
        <x:v>0</x:v>
      </x:c>
      <x:c r="L329" s="59"/>
      <x:c r="M329" s="53"/>
      <x:c r="N329" s="60" t="n">
        <x:f>IFERROR(MAXIFS(Purchases!$B:$B,Purchases!$D:$D,B329),"")</x:f>
        <x:v>0</x:v>
      </x:c>
      <x:c r="O329" s="50"/>
    </x:row>
    <x:row r="330">
      <x:c r="A330" s="53"/>
      <x:c r="B330" s="53"/>
      <x:c r="C330" s="53"/>
      <x:c r="D330" s="53"/>
      <x:c r="E330" s="58"/>
      <x:c r="F330" s="58"/>
      <x:c r="G330" s="59"/>
      <x:c r="H330" s="59" t="n">
        <x:f>SUMIF(Purchases!$D:$D,B330,Purchases!$F:$F)</x:f>
        <x:v>0</x:v>
      </x:c>
      <x:c r="I330" s="59" t="n">
        <x:f>SUMIF(Sales!$D:$D,B330,Sales!$G:$G)</x:f>
        <x:v>0</x:v>
      </x:c>
      <x:c r="J330" s="59" t="n">
        <x:f>G330+H330-I330</x:f>
        <x:v>0</x:v>
      </x:c>
      <x:c r="K330" s="58" t="n">
        <x:f>J330*E330</x:f>
        <x:v>0</x:v>
      </x:c>
      <x:c r="L330" s="59"/>
      <x:c r="M330" s="53"/>
      <x:c r="N330" s="60" t="n">
        <x:f>IFERROR(MAXIFS(Purchases!$B:$B,Purchases!$D:$D,B330),"")</x:f>
        <x:v>0</x:v>
      </x:c>
      <x:c r="O330" s="50"/>
    </x:row>
    <x:row r="331">
      <x:c r="A331" s="53"/>
      <x:c r="B331" s="53"/>
      <x:c r="C331" s="53"/>
      <x:c r="D331" s="53"/>
      <x:c r="E331" s="58"/>
      <x:c r="F331" s="58"/>
      <x:c r="G331" s="59"/>
      <x:c r="H331" s="59" t="n">
        <x:f>SUMIF(Purchases!$D:$D,B331,Purchases!$F:$F)</x:f>
        <x:v>0</x:v>
      </x:c>
      <x:c r="I331" s="59" t="n">
        <x:f>SUMIF(Sales!$D:$D,B331,Sales!$G:$G)</x:f>
        <x:v>0</x:v>
      </x:c>
      <x:c r="J331" s="59" t="n">
        <x:f>G331+H331-I331</x:f>
        <x:v>0</x:v>
      </x:c>
      <x:c r="K331" s="58" t="n">
        <x:f>J331*E331</x:f>
        <x:v>0</x:v>
      </x:c>
      <x:c r="L331" s="59"/>
      <x:c r="M331" s="53"/>
      <x:c r="N331" s="60" t="n">
        <x:f>IFERROR(MAXIFS(Purchases!$B:$B,Purchases!$D:$D,B331),"")</x:f>
        <x:v>0</x:v>
      </x:c>
      <x:c r="O331" s="50"/>
    </x:row>
    <x:row r="332">
      <x:c r="A332" s="53"/>
      <x:c r="B332" s="53"/>
      <x:c r="C332" s="53"/>
      <x:c r="D332" s="53"/>
      <x:c r="E332" s="58"/>
      <x:c r="F332" s="58"/>
      <x:c r="G332" s="59"/>
      <x:c r="H332" s="59" t="n">
        <x:f>SUMIF(Purchases!$D:$D,B332,Purchases!$F:$F)</x:f>
        <x:v>0</x:v>
      </x:c>
      <x:c r="I332" s="59" t="n">
        <x:f>SUMIF(Sales!$D:$D,B332,Sales!$G:$G)</x:f>
        <x:v>0</x:v>
      </x:c>
      <x:c r="J332" s="59" t="n">
        <x:f>G332+H332-I332</x:f>
        <x:v>0</x:v>
      </x:c>
      <x:c r="K332" s="58" t="n">
        <x:f>J332*E332</x:f>
        <x:v>0</x:v>
      </x:c>
      <x:c r="L332" s="59"/>
      <x:c r="M332" s="53"/>
      <x:c r="N332" s="60" t="n">
        <x:f>IFERROR(MAXIFS(Purchases!$B:$B,Purchases!$D:$D,B332),"")</x:f>
        <x:v>0</x:v>
      </x:c>
      <x:c r="O332" s="50"/>
    </x:row>
    <x:row r="333">
      <x:c r="A333" s="53"/>
      <x:c r="B333" s="53"/>
      <x:c r="C333" s="53"/>
      <x:c r="D333" s="53"/>
      <x:c r="E333" s="58"/>
      <x:c r="F333" s="58"/>
      <x:c r="G333" s="59"/>
      <x:c r="H333" s="59" t="n">
        <x:f>SUMIF(Purchases!$D:$D,B333,Purchases!$F:$F)</x:f>
        <x:v>0</x:v>
      </x:c>
      <x:c r="I333" s="59" t="n">
        <x:f>SUMIF(Sales!$D:$D,B333,Sales!$G:$G)</x:f>
        <x:v>0</x:v>
      </x:c>
      <x:c r="J333" s="59" t="n">
        <x:f>G333+H333-I333</x:f>
        <x:v>0</x:v>
      </x:c>
      <x:c r="K333" s="58" t="n">
        <x:f>J333*E333</x:f>
        <x:v>0</x:v>
      </x:c>
      <x:c r="L333" s="59"/>
      <x:c r="M333" s="53"/>
      <x:c r="N333" s="60" t="n">
        <x:f>IFERROR(MAXIFS(Purchases!$B:$B,Purchases!$D:$D,B333),"")</x:f>
        <x:v>0</x:v>
      </x:c>
      <x:c r="O333" s="50"/>
    </x:row>
    <x:row r="334">
      <x:c r="A334" s="53"/>
      <x:c r="B334" s="53"/>
      <x:c r="C334" s="53"/>
      <x:c r="D334" s="53"/>
      <x:c r="E334" s="58"/>
      <x:c r="F334" s="58"/>
      <x:c r="G334" s="59"/>
      <x:c r="H334" s="59" t="n">
        <x:f>SUMIF(Purchases!$D:$D,B334,Purchases!$F:$F)</x:f>
        <x:v>0</x:v>
      </x:c>
      <x:c r="I334" s="59" t="n">
        <x:f>SUMIF(Sales!$D:$D,B334,Sales!$G:$G)</x:f>
        <x:v>0</x:v>
      </x:c>
      <x:c r="J334" s="59" t="n">
        <x:f>G334+H334-I334</x:f>
        <x:v>0</x:v>
      </x:c>
      <x:c r="K334" s="58" t="n">
        <x:f>J334*E334</x:f>
        <x:v>0</x:v>
      </x:c>
      <x:c r="L334" s="59"/>
      <x:c r="M334" s="53"/>
      <x:c r="N334" s="60" t="n">
        <x:f>IFERROR(MAXIFS(Purchases!$B:$B,Purchases!$D:$D,B334),"")</x:f>
        <x:v>0</x:v>
      </x:c>
      <x:c r="O334" s="50"/>
    </x:row>
    <x:row r="335">
      <x:c r="A335" s="53"/>
      <x:c r="B335" s="53"/>
      <x:c r="C335" s="53"/>
      <x:c r="D335" s="53"/>
      <x:c r="E335" s="58"/>
      <x:c r="F335" s="58"/>
      <x:c r="G335" s="59"/>
      <x:c r="H335" s="59" t="n">
        <x:f>SUMIF(Purchases!$D:$D,B335,Purchases!$F:$F)</x:f>
        <x:v>0</x:v>
      </x:c>
      <x:c r="I335" s="59" t="n">
        <x:f>SUMIF(Sales!$D:$D,B335,Sales!$G:$G)</x:f>
        <x:v>0</x:v>
      </x:c>
      <x:c r="J335" s="59" t="n">
        <x:f>G335+H335-I335</x:f>
        <x:v>0</x:v>
      </x:c>
      <x:c r="K335" s="58" t="n">
        <x:f>J335*E335</x:f>
        <x:v>0</x:v>
      </x:c>
      <x:c r="L335" s="59"/>
      <x:c r="M335" s="53"/>
      <x:c r="N335" s="60" t="n">
        <x:f>IFERROR(MAXIFS(Purchases!$B:$B,Purchases!$D:$D,B335),"")</x:f>
        <x:v>0</x:v>
      </x:c>
      <x:c r="O335" s="50"/>
    </x:row>
    <x:row r="336">
      <x:c r="A336" s="53"/>
      <x:c r="B336" s="53"/>
      <x:c r="C336" s="53"/>
      <x:c r="D336" s="53"/>
      <x:c r="E336" s="58"/>
      <x:c r="F336" s="58"/>
      <x:c r="G336" s="59"/>
      <x:c r="H336" s="59" t="n">
        <x:f>SUMIF(Purchases!$D:$D,B336,Purchases!$F:$F)</x:f>
        <x:v>0</x:v>
      </x:c>
      <x:c r="I336" s="59" t="n">
        <x:f>SUMIF(Sales!$D:$D,B336,Sales!$G:$G)</x:f>
        <x:v>0</x:v>
      </x:c>
      <x:c r="J336" s="59" t="n">
        <x:f>G336+H336-I336</x:f>
        <x:v>0</x:v>
      </x:c>
      <x:c r="K336" s="58" t="n">
        <x:f>J336*E336</x:f>
        <x:v>0</x:v>
      </x:c>
      <x:c r="L336" s="59"/>
      <x:c r="M336" s="53"/>
      <x:c r="N336" s="60" t="n">
        <x:f>IFERROR(MAXIFS(Purchases!$B:$B,Purchases!$D:$D,B336),"")</x:f>
        <x:v>0</x:v>
      </x:c>
      <x:c r="O336" s="50"/>
    </x:row>
    <x:row r="337">
      <x:c r="A337" s="53"/>
      <x:c r="B337" s="53"/>
      <x:c r="C337" s="53"/>
      <x:c r="D337" s="53"/>
      <x:c r="E337" s="58"/>
      <x:c r="F337" s="58"/>
      <x:c r="G337" s="59"/>
      <x:c r="H337" s="59" t="n">
        <x:f>SUMIF(Purchases!$D:$D,B337,Purchases!$F:$F)</x:f>
        <x:v>0</x:v>
      </x:c>
      <x:c r="I337" s="59" t="n">
        <x:f>SUMIF(Sales!$D:$D,B337,Sales!$G:$G)</x:f>
        <x:v>0</x:v>
      </x:c>
      <x:c r="J337" s="59" t="n">
        <x:f>G337+H337-I337</x:f>
        <x:v>0</x:v>
      </x:c>
      <x:c r="K337" s="58" t="n">
        <x:f>J337*E337</x:f>
        <x:v>0</x:v>
      </x:c>
      <x:c r="L337" s="59"/>
      <x:c r="M337" s="53"/>
      <x:c r="N337" s="60" t="n">
        <x:f>IFERROR(MAXIFS(Purchases!$B:$B,Purchases!$D:$D,B337),"")</x:f>
        <x:v>0</x:v>
      </x:c>
      <x:c r="O337" s="50"/>
    </x:row>
    <x:row r="338">
      <x:c r="A338" s="53"/>
      <x:c r="B338" s="53"/>
      <x:c r="C338" s="53"/>
      <x:c r="D338" s="53"/>
      <x:c r="E338" s="58"/>
      <x:c r="F338" s="58"/>
      <x:c r="G338" s="59"/>
      <x:c r="H338" s="59" t="n">
        <x:f>SUMIF(Purchases!$D:$D,B338,Purchases!$F:$F)</x:f>
        <x:v>0</x:v>
      </x:c>
      <x:c r="I338" s="59" t="n">
        <x:f>SUMIF(Sales!$D:$D,B338,Sales!$G:$G)</x:f>
        <x:v>0</x:v>
      </x:c>
      <x:c r="J338" s="59" t="n">
        <x:f>G338+H338-I338</x:f>
        <x:v>0</x:v>
      </x:c>
      <x:c r="K338" s="58" t="n">
        <x:f>J338*E338</x:f>
        <x:v>0</x:v>
      </x:c>
      <x:c r="L338" s="59"/>
      <x:c r="M338" s="53"/>
      <x:c r="N338" s="60" t="n">
        <x:f>IFERROR(MAXIFS(Purchases!$B:$B,Purchases!$D:$D,B338),"")</x:f>
        <x:v>0</x:v>
      </x:c>
      <x:c r="O338" s="50"/>
    </x:row>
    <x:row r="339">
      <x:c r="A339" s="53"/>
      <x:c r="B339" s="53"/>
      <x:c r="C339" s="53"/>
      <x:c r="D339" s="53"/>
      <x:c r="E339" s="58"/>
      <x:c r="F339" s="58"/>
      <x:c r="G339" s="59"/>
      <x:c r="H339" s="59" t="n">
        <x:f>SUMIF(Purchases!$D:$D,B339,Purchases!$F:$F)</x:f>
        <x:v>0</x:v>
      </x:c>
      <x:c r="I339" s="59" t="n">
        <x:f>SUMIF(Sales!$D:$D,B339,Sales!$G:$G)</x:f>
        <x:v>0</x:v>
      </x:c>
      <x:c r="J339" s="59" t="n">
        <x:f>G339+H339-I339</x:f>
        <x:v>0</x:v>
      </x:c>
      <x:c r="K339" s="58" t="n">
        <x:f>J339*E339</x:f>
        <x:v>0</x:v>
      </x:c>
      <x:c r="L339" s="59"/>
      <x:c r="M339" s="53"/>
      <x:c r="N339" s="60" t="n">
        <x:f>IFERROR(MAXIFS(Purchases!$B:$B,Purchases!$D:$D,B339),"")</x:f>
        <x:v>0</x:v>
      </x:c>
      <x:c r="O339" s="50"/>
    </x:row>
    <x:row r="340">
      <x:c r="A340" s="53"/>
      <x:c r="B340" s="53"/>
      <x:c r="C340" s="53"/>
      <x:c r="D340" s="53"/>
      <x:c r="E340" s="58"/>
      <x:c r="F340" s="58"/>
      <x:c r="G340" s="59"/>
      <x:c r="H340" s="59" t="n">
        <x:f>SUMIF(Purchases!$D:$D,B340,Purchases!$F:$F)</x:f>
        <x:v>0</x:v>
      </x:c>
      <x:c r="I340" s="59" t="n">
        <x:f>SUMIF(Sales!$D:$D,B340,Sales!$G:$G)</x:f>
        <x:v>0</x:v>
      </x:c>
      <x:c r="J340" s="59" t="n">
        <x:f>G340+H340-I340</x:f>
        <x:v>0</x:v>
      </x:c>
      <x:c r="K340" s="58" t="n">
        <x:f>J340*E340</x:f>
        <x:v>0</x:v>
      </x:c>
      <x:c r="L340" s="59"/>
      <x:c r="M340" s="53"/>
      <x:c r="N340" s="60" t="n">
        <x:f>IFERROR(MAXIFS(Purchases!$B:$B,Purchases!$D:$D,B340),"")</x:f>
        <x:v>0</x:v>
      </x:c>
      <x:c r="O340" s="50"/>
    </x:row>
    <x:row r="341">
      <x:c r="A341" s="53"/>
      <x:c r="B341" s="53"/>
      <x:c r="C341" s="53"/>
      <x:c r="D341" s="53"/>
      <x:c r="E341" s="58"/>
      <x:c r="F341" s="58"/>
      <x:c r="G341" s="59"/>
      <x:c r="H341" s="59" t="n">
        <x:f>SUMIF(Purchases!$D:$D,B341,Purchases!$F:$F)</x:f>
        <x:v>0</x:v>
      </x:c>
      <x:c r="I341" s="59" t="n">
        <x:f>SUMIF(Sales!$D:$D,B341,Sales!$G:$G)</x:f>
        <x:v>0</x:v>
      </x:c>
      <x:c r="J341" s="59" t="n">
        <x:f>G341+H341-I341</x:f>
        <x:v>0</x:v>
      </x:c>
      <x:c r="K341" s="58" t="n">
        <x:f>J341*E341</x:f>
        <x:v>0</x:v>
      </x:c>
      <x:c r="L341" s="59"/>
      <x:c r="M341" s="53"/>
      <x:c r="N341" s="60" t="n">
        <x:f>IFERROR(MAXIFS(Purchases!$B:$B,Purchases!$D:$D,B341),"")</x:f>
        <x:v>0</x:v>
      </x:c>
      <x:c r="O341" s="50"/>
    </x:row>
    <x:row r="342">
      <x:c r="A342" s="53"/>
      <x:c r="B342" s="53"/>
      <x:c r="C342" s="53"/>
      <x:c r="D342" s="53"/>
      <x:c r="E342" s="58"/>
      <x:c r="F342" s="58"/>
      <x:c r="G342" s="59"/>
      <x:c r="H342" s="59" t="n">
        <x:f>SUMIF(Purchases!$D:$D,B342,Purchases!$F:$F)</x:f>
        <x:v>0</x:v>
      </x:c>
      <x:c r="I342" s="59" t="n">
        <x:f>SUMIF(Sales!$D:$D,B342,Sales!$G:$G)</x:f>
        <x:v>0</x:v>
      </x:c>
      <x:c r="J342" s="59" t="n">
        <x:f>G342+H342-I342</x:f>
        <x:v>0</x:v>
      </x:c>
      <x:c r="K342" s="58" t="n">
        <x:f>J342*E342</x:f>
        <x:v>0</x:v>
      </x:c>
      <x:c r="L342" s="59"/>
      <x:c r="M342" s="53"/>
      <x:c r="N342" s="60" t="n">
        <x:f>IFERROR(MAXIFS(Purchases!$B:$B,Purchases!$D:$D,B342),"")</x:f>
        <x:v>0</x:v>
      </x:c>
      <x:c r="O342" s="50"/>
    </x:row>
    <x:row r="343">
      <x:c r="A343" s="53"/>
      <x:c r="B343" s="53"/>
      <x:c r="C343" s="53"/>
      <x:c r="D343" s="53"/>
      <x:c r="E343" s="58"/>
      <x:c r="F343" s="58"/>
      <x:c r="G343" s="59"/>
      <x:c r="H343" s="59" t="n">
        <x:f>SUMIF(Purchases!$D:$D,B343,Purchases!$F:$F)</x:f>
        <x:v>0</x:v>
      </x:c>
      <x:c r="I343" s="59" t="n">
        <x:f>SUMIF(Sales!$D:$D,B343,Sales!$G:$G)</x:f>
        <x:v>0</x:v>
      </x:c>
      <x:c r="J343" s="59" t="n">
        <x:f>G343+H343-I343</x:f>
        <x:v>0</x:v>
      </x:c>
      <x:c r="K343" s="58" t="n">
        <x:f>J343*E343</x:f>
        <x:v>0</x:v>
      </x:c>
      <x:c r="L343" s="59"/>
      <x:c r="M343" s="53"/>
      <x:c r="N343" s="60" t="n">
        <x:f>IFERROR(MAXIFS(Purchases!$B:$B,Purchases!$D:$D,B343),"")</x:f>
        <x:v>0</x:v>
      </x:c>
      <x:c r="O343" s="50"/>
    </x:row>
    <x:row r="344">
      <x:c r="A344" s="53"/>
      <x:c r="B344" s="53"/>
      <x:c r="C344" s="53"/>
      <x:c r="D344" s="53"/>
      <x:c r="E344" s="58"/>
      <x:c r="F344" s="58"/>
      <x:c r="G344" s="59"/>
      <x:c r="H344" s="59" t="n">
        <x:f>SUMIF(Purchases!$D:$D,B344,Purchases!$F:$F)</x:f>
        <x:v>0</x:v>
      </x:c>
      <x:c r="I344" s="59" t="n">
        <x:f>SUMIF(Sales!$D:$D,B344,Sales!$G:$G)</x:f>
        <x:v>0</x:v>
      </x:c>
      <x:c r="J344" s="59" t="n">
        <x:f>G344+H344-I344</x:f>
        <x:v>0</x:v>
      </x:c>
      <x:c r="K344" s="58" t="n">
        <x:f>J344*E344</x:f>
        <x:v>0</x:v>
      </x:c>
      <x:c r="L344" s="59"/>
      <x:c r="M344" s="53"/>
      <x:c r="N344" s="60" t="n">
        <x:f>IFERROR(MAXIFS(Purchases!$B:$B,Purchases!$D:$D,B344),"")</x:f>
        <x:v>0</x:v>
      </x:c>
      <x:c r="O344" s="50"/>
    </x:row>
    <x:row r="345">
      <x:c r="A345" s="53"/>
      <x:c r="B345" s="53"/>
      <x:c r="C345" s="53"/>
      <x:c r="D345" s="53"/>
      <x:c r="E345" s="58"/>
      <x:c r="F345" s="58"/>
      <x:c r="G345" s="59"/>
      <x:c r="H345" s="59" t="n">
        <x:f>SUMIF(Purchases!$D:$D,B345,Purchases!$F:$F)</x:f>
        <x:v>0</x:v>
      </x:c>
      <x:c r="I345" s="59" t="n">
        <x:f>SUMIF(Sales!$D:$D,B345,Sales!$G:$G)</x:f>
        <x:v>0</x:v>
      </x:c>
      <x:c r="J345" s="59" t="n">
        <x:f>G345+H345-I345</x:f>
        <x:v>0</x:v>
      </x:c>
      <x:c r="K345" s="58" t="n">
        <x:f>J345*E345</x:f>
        <x:v>0</x:v>
      </x:c>
      <x:c r="L345" s="59"/>
      <x:c r="M345" s="53"/>
      <x:c r="N345" s="60" t="n">
        <x:f>IFERROR(MAXIFS(Purchases!$B:$B,Purchases!$D:$D,B345),"")</x:f>
        <x:v>0</x:v>
      </x:c>
      <x:c r="O345" s="50"/>
    </x:row>
    <x:row r="346">
      <x:c r="A346" s="53"/>
      <x:c r="B346" s="53"/>
      <x:c r="C346" s="53"/>
      <x:c r="D346" s="53"/>
      <x:c r="E346" s="58"/>
      <x:c r="F346" s="58"/>
      <x:c r="G346" s="59"/>
      <x:c r="H346" s="59" t="n">
        <x:f>SUMIF(Purchases!$D:$D,B346,Purchases!$F:$F)</x:f>
        <x:v>0</x:v>
      </x:c>
      <x:c r="I346" s="59" t="n">
        <x:f>SUMIF(Sales!$D:$D,B346,Sales!$G:$G)</x:f>
        <x:v>0</x:v>
      </x:c>
      <x:c r="J346" s="59" t="n">
        <x:f>G346+H346-I346</x:f>
        <x:v>0</x:v>
      </x:c>
      <x:c r="K346" s="58" t="n">
        <x:f>J346*E346</x:f>
        <x:v>0</x:v>
      </x:c>
      <x:c r="L346" s="59"/>
      <x:c r="M346" s="53"/>
      <x:c r="N346" s="60" t="n">
        <x:f>IFERROR(MAXIFS(Purchases!$B:$B,Purchases!$D:$D,B346),"")</x:f>
        <x:v>0</x:v>
      </x:c>
      <x:c r="O346" s="50"/>
    </x:row>
    <x:row r="347">
      <x:c r="A347" s="53"/>
      <x:c r="B347" s="53"/>
      <x:c r="C347" s="53"/>
      <x:c r="D347" s="53"/>
      <x:c r="E347" s="58"/>
      <x:c r="F347" s="58"/>
      <x:c r="G347" s="59"/>
      <x:c r="H347" s="59" t="n">
        <x:f>SUMIF(Purchases!$D:$D,B347,Purchases!$F:$F)</x:f>
        <x:v>0</x:v>
      </x:c>
      <x:c r="I347" s="59" t="n">
        <x:f>SUMIF(Sales!$D:$D,B347,Sales!$G:$G)</x:f>
        <x:v>0</x:v>
      </x:c>
      <x:c r="J347" s="59" t="n">
        <x:f>G347+H347-I347</x:f>
        <x:v>0</x:v>
      </x:c>
      <x:c r="K347" s="58" t="n">
        <x:f>J347*E347</x:f>
        <x:v>0</x:v>
      </x:c>
      <x:c r="L347" s="59"/>
      <x:c r="M347" s="53"/>
      <x:c r="N347" s="60" t="n">
        <x:f>IFERROR(MAXIFS(Purchases!$B:$B,Purchases!$D:$D,B347),"")</x:f>
        <x:v>0</x:v>
      </x:c>
      <x:c r="O347" s="50"/>
    </x:row>
    <x:row r="348">
      <x:c r="A348" s="53"/>
      <x:c r="B348" s="53"/>
      <x:c r="C348" s="53"/>
      <x:c r="D348" s="53"/>
      <x:c r="E348" s="58"/>
      <x:c r="F348" s="58"/>
      <x:c r="G348" s="59"/>
      <x:c r="H348" s="59" t="n">
        <x:f>SUMIF(Purchases!$D:$D,B348,Purchases!$F:$F)</x:f>
        <x:v>0</x:v>
      </x:c>
      <x:c r="I348" s="59" t="n">
        <x:f>SUMIF(Sales!$D:$D,B348,Sales!$G:$G)</x:f>
        <x:v>0</x:v>
      </x:c>
      <x:c r="J348" s="59" t="n">
        <x:f>G348+H348-I348</x:f>
        <x:v>0</x:v>
      </x:c>
      <x:c r="K348" s="58" t="n">
        <x:f>J348*E348</x:f>
        <x:v>0</x:v>
      </x:c>
      <x:c r="L348" s="59"/>
      <x:c r="M348" s="53"/>
      <x:c r="N348" s="60" t="n">
        <x:f>IFERROR(MAXIFS(Purchases!$B:$B,Purchases!$D:$D,B348),"")</x:f>
        <x:v>0</x:v>
      </x:c>
      <x:c r="O348" s="50"/>
    </x:row>
    <x:row r="349">
      <x:c r="A349" s="53"/>
      <x:c r="B349" s="53"/>
      <x:c r="C349" s="53"/>
      <x:c r="D349" s="53"/>
      <x:c r="E349" s="58"/>
      <x:c r="F349" s="58"/>
      <x:c r="G349" s="59"/>
      <x:c r="H349" s="59" t="n">
        <x:f>SUMIF(Purchases!$D:$D,B349,Purchases!$F:$F)</x:f>
        <x:v>0</x:v>
      </x:c>
      <x:c r="I349" s="59" t="n">
        <x:f>SUMIF(Sales!$D:$D,B349,Sales!$G:$G)</x:f>
        <x:v>0</x:v>
      </x:c>
      <x:c r="J349" s="59" t="n">
        <x:f>G349+H349-I349</x:f>
        <x:v>0</x:v>
      </x:c>
      <x:c r="K349" s="58" t="n">
        <x:f>J349*E349</x:f>
        <x:v>0</x:v>
      </x:c>
      <x:c r="L349" s="59"/>
      <x:c r="M349" s="53"/>
      <x:c r="N349" s="60" t="n">
        <x:f>IFERROR(MAXIFS(Purchases!$B:$B,Purchases!$D:$D,B349),"")</x:f>
        <x:v>0</x:v>
      </x:c>
      <x:c r="O349" s="50"/>
    </x:row>
    <x:row r="350">
      <x:c r="A350" s="53"/>
      <x:c r="B350" s="53"/>
      <x:c r="C350" s="53"/>
      <x:c r="D350" s="53"/>
      <x:c r="E350" s="58"/>
      <x:c r="F350" s="58"/>
      <x:c r="G350" s="59"/>
      <x:c r="H350" s="59" t="n">
        <x:f>SUMIF(Purchases!$D:$D,B350,Purchases!$F:$F)</x:f>
        <x:v>0</x:v>
      </x:c>
      <x:c r="I350" s="59" t="n">
        <x:f>SUMIF(Sales!$D:$D,B350,Sales!$G:$G)</x:f>
        <x:v>0</x:v>
      </x:c>
      <x:c r="J350" s="59" t="n">
        <x:f>G350+H350-I350</x:f>
        <x:v>0</x:v>
      </x:c>
      <x:c r="K350" s="58" t="n">
        <x:f>J350*E350</x:f>
        <x:v>0</x:v>
      </x:c>
      <x:c r="L350" s="59"/>
      <x:c r="M350" s="53"/>
      <x:c r="N350" s="60" t="n">
        <x:f>IFERROR(MAXIFS(Purchases!$B:$B,Purchases!$D:$D,B350),"")</x:f>
        <x:v>0</x:v>
      </x:c>
      <x:c r="O350" s="50"/>
    </x:row>
    <x:row r="351">
      <x:c r="A351" s="53"/>
      <x:c r="B351" s="53"/>
      <x:c r="C351" s="53"/>
      <x:c r="D351" s="53"/>
      <x:c r="E351" s="58"/>
      <x:c r="F351" s="58"/>
      <x:c r="G351" s="59"/>
      <x:c r="H351" s="59" t="n">
        <x:f>SUMIF(Purchases!$D:$D,B351,Purchases!$F:$F)</x:f>
        <x:v>0</x:v>
      </x:c>
      <x:c r="I351" s="59" t="n">
        <x:f>SUMIF(Sales!$D:$D,B351,Sales!$G:$G)</x:f>
        <x:v>0</x:v>
      </x:c>
      <x:c r="J351" s="59" t="n">
        <x:f>G351+H351-I351</x:f>
        <x:v>0</x:v>
      </x:c>
      <x:c r="K351" s="58" t="n">
        <x:f>J351*E351</x:f>
        <x:v>0</x:v>
      </x:c>
      <x:c r="L351" s="59"/>
      <x:c r="M351" s="53"/>
      <x:c r="N351" s="60" t="n">
        <x:f>IFERROR(MAXIFS(Purchases!$B:$B,Purchases!$D:$D,B351),"")</x:f>
        <x:v>0</x:v>
      </x:c>
      <x:c r="O351" s="50"/>
    </x:row>
    <x:row r="352">
      <x:c r="A352" s="53"/>
      <x:c r="B352" s="53"/>
      <x:c r="C352" s="53"/>
      <x:c r="D352" s="53"/>
      <x:c r="E352" s="58"/>
      <x:c r="F352" s="58"/>
      <x:c r="G352" s="59"/>
      <x:c r="H352" s="59" t="n">
        <x:f>SUMIF(Purchases!$D:$D,B352,Purchases!$F:$F)</x:f>
        <x:v>0</x:v>
      </x:c>
      <x:c r="I352" s="59" t="n">
        <x:f>SUMIF(Sales!$D:$D,B352,Sales!$G:$G)</x:f>
        <x:v>0</x:v>
      </x:c>
      <x:c r="J352" s="59" t="n">
        <x:f>G352+H352-I352</x:f>
        <x:v>0</x:v>
      </x:c>
      <x:c r="K352" s="58" t="n">
        <x:f>J352*E352</x:f>
        <x:v>0</x:v>
      </x:c>
      <x:c r="L352" s="59"/>
      <x:c r="M352" s="53"/>
      <x:c r="N352" s="60" t="n">
        <x:f>IFERROR(MAXIFS(Purchases!$B:$B,Purchases!$D:$D,B352),"")</x:f>
        <x:v>0</x:v>
      </x:c>
      <x:c r="O352" s="50"/>
    </x:row>
    <x:row r="353">
      <x:c r="A353" s="53"/>
      <x:c r="B353" s="53"/>
      <x:c r="C353" s="53"/>
      <x:c r="D353" s="53"/>
      <x:c r="E353" s="58"/>
      <x:c r="F353" s="58"/>
      <x:c r="G353" s="59"/>
      <x:c r="H353" s="59" t="n">
        <x:f>SUMIF(Purchases!$D:$D,B353,Purchases!$F:$F)</x:f>
        <x:v>0</x:v>
      </x:c>
      <x:c r="I353" s="59" t="n">
        <x:f>SUMIF(Sales!$D:$D,B353,Sales!$G:$G)</x:f>
        <x:v>0</x:v>
      </x:c>
      <x:c r="J353" s="59" t="n">
        <x:f>G353+H353-I353</x:f>
        <x:v>0</x:v>
      </x:c>
      <x:c r="K353" s="58" t="n">
        <x:f>J353*E353</x:f>
        <x:v>0</x:v>
      </x:c>
      <x:c r="L353" s="59"/>
      <x:c r="M353" s="53"/>
      <x:c r="N353" s="60" t="n">
        <x:f>IFERROR(MAXIFS(Purchases!$B:$B,Purchases!$D:$D,B353),"")</x:f>
        <x:v>0</x:v>
      </x:c>
      <x:c r="O353" s="50"/>
    </x:row>
    <x:row r="354">
      <x:c r="A354" s="53"/>
      <x:c r="B354" s="53"/>
      <x:c r="C354" s="53"/>
      <x:c r="D354" s="53"/>
      <x:c r="E354" s="58"/>
      <x:c r="F354" s="58"/>
      <x:c r="G354" s="59"/>
      <x:c r="H354" s="59" t="n">
        <x:f>SUMIF(Purchases!$D:$D,B354,Purchases!$F:$F)</x:f>
        <x:v>0</x:v>
      </x:c>
      <x:c r="I354" s="59" t="n">
        <x:f>SUMIF(Sales!$D:$D,B354,Sales!$G:$G)</x:f>
        <x:v>0</x:v>
      </x:c>
      <x:c r="J354" s="59" t="n">
        <x:f>G354+H354-I354</x:f>
        <x:v>0</x:v>
      </x:c>
      <x:c r="K354" s="58" t="n">
        <x:f>J354*E354</x:f>
        <x:v>0</x:v>
      </x:c>
      <x:c r="L354" s="59"/>
      <x:c r="M354" s="53"/>
      <x:c r="N354" s="60" t="n">
        <x:f>IFERROR(MAXIFS(Purchases!$B:$B,Purchases!$D:$D,B354),"")</x:f>
        <x:v>0</x:v>
      </x:c>
      <x:c r="O354" s="50"/>
    </x:row>
    <x:row r="355">
      <x:c r="A355" s="53"/>
      <x:c r="B355" s="53"/>
      <x:c r="C355" s="53"/>
      <x:c r="D355" s="53"/>
      <x:c r="E355" s="58"/>
      <x:c r="F355" s="58"/>
      <x:c r="G355" s="59"/>
      <x:c r="H355" s="59" t="n">
        <x:f>SUMIF(Purchases!$D:$D,B355,Purchases!$F:$F)</x:f>
        <x:v>0</x:v>
      </x:c>
      <x:c r="I355" s="59" t="n">
        <x:f>SUMIF(Sales!$D:$D,B355,Sales!$G:$G)</x:f>
        <x:v>0</x:v>
      </x:c>
      <x:c r="J355" s="59" t="n">
        <x:f>G355+H355-I355</x:f>
        <x:v>0</x:v>
      </x:c>
      <x:c r="K355" s="58" t="n">
        <x:f>J355*E355</x:f>
        <x:v>0</x:v>
      </x:c>
      <x:c r="L355" s="59"/>
      <x:c r="M355" s="53"/>
      <x:c r="N355" s="60" t="n">
        <x:f>IFERROR(MAXIFS(Purchases!$B:$B,Purchases!$D:$D,B355),"")</x:f>
        <x:v>0</x:v>
      </x:c>
      <x:c r="O355" s="50"/>
    </x:row>
    <x:row r="356">
      <x:c r="A356" s="53"/>
      <x:c r="B356" s="53"/>
      <x:c r="C356" s="53"/>
      <x:c r="D356" s="53"/>
      <x:c r="E356" s="58"/>
      <x:c r="F356" s="58"/>
      <x:c r="G356" s="59"/>
      <x:c r="H356" s="59" t="n">
        <x:f>SUMIF(Purchases!$D:$D,B356,Purchases!$F:$F)</x:f>
        <x:v>0</x:v>
      </x:c>
      <x:c r="I356" s="59" t="n">
        <x:f>SUMIF(Sales!$D:$D,B356,Sales!$G:$G)</x:f>
        <x:v>0</x:v>
      </x:c>
      <x:c r="J356" s="59" t="n">
        <x:f>G356+H356-I356</x:f>
        <x:v>0</x:v>
      </x:c>
      <x:c r="K356" s="58" t="n">
        <x:f>J356*E356</x:f>
        <x:v>0</x:v>
      </x:c>
      <x:c r="L356" s="59"/>
      <x:c r="M356" s="53"/>
      <x:c r="N356" s="60" t="n">
        <x:f>IFERROR(MAXIFS(Purchases!$B:$B,Purchases!$D:$D,B356),"")</x:f>
        <x:v>0</x:v>
      </x:c>
      <x:c r="O356" s="50"/>
    </x:row>
    <x:row r="357">
      <x:c r="A357" s="53"/>
      <x:c r="B357" s="53"/>
      <x:c r="C357" s="53"/>
      <x:c r="D357" s="53"/>
      <x:c r="E357" s="58"/>
      <x:c r="F357" s="58"/>
      <x:c r="G357" s="59"/>
      <x:c r="H357" s="59" t="n">
        <x:f>SUMIF(Purchases!$D:$D,B357,Purchases!$F:$F)</x:f>
        <x:v>0</x:v>
      </x:c>
      <x:c r="I357" s="59" t="n">
        <x:f>SUMIF(Sales!$D:$D,B357,Sales!$G:$G)</x:f>
        <x:v>0</x:v>
      </x:c>
      <x:c r="J357" s="59" t="n">
        <x:f>G357+H357-I357</x:f>
        <x:v>0</x:v>
      </x:c>
      <x:c r="K357" s="58" t="n">
        <x:f>J357*E357</x:f>
        <x:v>0</x:v>
      </x:c>
      <x:c r="L357" s="59"/>
      <x:c r="M357" s="53"/>
      <x:c r="N357" s="60" t="n">
        <x:f>IFERROR(MAXIFS(Purchases!$B:$B,Purchases!$D:$D,B357),"")</x:f>
        <x:v>0</x:v>
      </x:c>
      <x:c r="O357" s="50"/>
    </x:row>
    <x:row r="358">
      <x:c r="A358" s="53"/>
      <x:c r="B358" s="53"/>
      <x:c r="C358" s="53"/>
      <x:c r="D358" s="53"/>
      <x:c r="E358" s="58"/>
      <x:c r="F358" s="58"/>
      <x:c r="G358" s="59"/>
      <x:c r="H358" s="59" t="n">
        <x:f>SUMIF(Purchases!$D:$D,B358,Purchases!$F:$F)</x:f>
        <x:v>0</x:v>
      </x:c>
      <x:c r="I358" s="59" t="n">
        <x:f>SUMIF(Sales!$D:$D,B358,Sales!$G:$G)</x:f>
        <x:v>0</x:v>
      </x:c>
      <x:c r="J358" s="59" t="n">
        <x:f>G358+H358-I358</x:f>
        <x:v>0</x:v>
      </x:c>
      <x:c r="K358" s="58" t="n">
        <x:f>J358*E358</x:f>
        <x:v>0</x:v>
      </x:c>
      <x:c r="L358" s="59"/>
      <x:c r="M358" s="53"/>
      <x:c r="N358" s="60" t="n">
        <x:f>IFERROR(MAXIFS(Purchases!$B:$B,Purchases!$D:$D,B358),"")</x:f>
        <x:v>0</x:v>
      </x:c>
      <x:c r="O358" s="50"/>
    </x:row>
    <x:row r="359">
      <x:c r="A359" s="53"/>
      <x:c r="B359" s="53"/>
      <x:c r="C359" s="53"/>
      <x:c r="D359" s="53"/>
      <x:c r="E359" s="58"/>
      <x:c r="F359" s="58"/>
      <x:c r="G359" s="59"/>
      <x:c r="H359" s="59" t="n">
        <x:f>SUMIF(Purchases!$D:$D,B359,Purchases!$F:$F)</x:f>
        <x:v>0</x:v>
      </x:c>
      <x:c r="I359" s="59" t="n">
        <x:f>SUMIF(Sales!$D:$D,B359,Sales!$G:$G)</x:f>
        <x:v>0</x:v>
      </x:c>
      <x:c r="J359" s="59" t="n">
        <x:f>G359+H359-I359</x:f>
        <x:v>0</x:v>
      </x:c>
      <x:c r="K359" s="58" t="n">
        <x:f>J359*E359</x:f>
        <x:v>0</x:v>
      </x:c>
      <x:c r="L359" s="59"/>
      <x:c r="M359" s="53"/>
      <x:c r="N359" s="60" t="n">
        <x:f>IFERROR(MAXIFS(Purchases!$B:$B,Purchases!$D:$D,B359),"")</x:f>
        <x:v>0</x:v>
      </x:c>
      <x:c r="O359" s="50"/>
    </x:row>
    <x:row r="360">
      <x:c r="A360" s="53"/>
      <x:c r="B360" s="53"/>
      <x:c r="C360" s="53"/>
      <x:c r="D360" s="53"/>
      <x:c r="E360" s="58"/>
      <x:c r="F360" s="58"/>
      <x:c r="G360" s="59"/>
      <x:c r="H360" s="59" t="n">
        <x:f>SUMIF(Purchases!$D:$D,B360,Purchases!$F:$F)</x:f>
        <x:v>0</x:v>
      </x:c>
      <x:c r="I360" s="59" t="n">
        <x:f>SUMIF(Sales!$D:$D,B360,Sales!$G:$G)</x:f>
        <x:v>0</x:v>
      </x:c>
      <x:c r="J360" s="59" t="n">
        <x:f>G360+H360-I360</x:f>
        <x:v>0</x:v>
      </x:c>
      <x:c r="K360" s="58" t="n">
        <x:f>J360*E360</x:f>
        <x:v>0</x:v>
      </x:c>
      <x:c r="L360" s="59"/>
      <x:c r="M360" s="53"/>
      <x:c r="N360" s="60" t="n">
        <x:f>IFERROR(MAXIFS(Purchases!$B:$B,Purchases!$D:$D,B360),"")</x:f>
        <x:v>0</x:v>
      </x:c>
      <x:c r="O360" s="50"/>
    </x:row>
    <x:row r="361">
      <x:c r="A361" s="53"/>
      <x:c r="B361" s="53"/>
      <x:c r="C361" s="53"/>
      <x:c r="D361" s="53"/>
      <x:c r="E361" s="58"/>
      <x:c r="F361" s="58"/>
      <x:c r="G361" s="59"/>
      <x:c r="H361" s="59" t="n">
        <x:f>SUMIF(Purchases!$D:$D,B361,Purchases!$F:$F)</x:f>
        <x:v>0</x:v>
      </x:c>
      <x:c r="I361" s="59" t="n">
        <x:f>SUMIF(Sales!$D:$D,B361,Sales!$G:$G)</x:f>
        <x:v>0</x:v>
      </x:c>
      <x:c r="J361" s="59" t="n">
        <x:f>G361+H361-I361</x:f>
        <x:v>0</x:v>
      </x:c>
      <x:c r="K361" s="58" t="n">
        <x:f>J361*E361</x:f>
        <x:v>0</x:v>
      </x:c>
      <x:c r="L361" s="59"/>
      <x:c r="M361" s="53"/>
      <x:c r="N361" s="60" t="n">
        <x:f>IFERROR(MAXIFS(Purchases!$B:$B,Purchases!$D:$D,B361),"")</x:f>
        <x:v>0</x:v>
      </x:c>
      <x:c r="O361" s="50"/>
    </x:row>
    <x:row r="362">
      <x:c r="A362" s="53"/>
      <x:c r="B362" s="53"/>
      <x:c r="C362" s="53"/>
      <x:c r="D362" s="53"/>
      <x:c r="E362" s="58"/>
      <x:c r="F362" s="58"/>
      <x:c r="G362" s="59"/>
      <x:c r="H362" s="59" t="n">
        <x:f>SUMIF(Purchases!$D:$D,B362,Purchases!$F:$F)</x:f>
        <x:v>0</x:v>
      </x:c>
      <x:c r="I362" s="59" t="n">
        <x:f>SUMIF(Sales!$D:$D,B362,Sales!$G:$G)</x:f>
        <x:v>0</x:v>
      </x:c>
      <x:c r="J362" s="59" t="n">
        <x:f>G362+H362-I362</x:f>
        <x:v>0</x:v>
      </x:c>
      <x:c r="K362" s="58" t="n">
        <x:f>J362*E362</x:f>
        <x:v>0</x:v>
      </x:c>
      <x:c r="L362" s="59"/>
      <x:c r="M362" s="53"/>
      <x:c r="N362" s="60" t="n">
        <x:f>IFERROR(MAXIFS(Purchases!$B:$B,Purchases!$D:$D,B362),"")</x:f>
        <x:v>0</x:v>
      </x:c>
      <x:c r="O362" s="50"/>
    </x:row>
    <x:row r="363">
      <x:c r="A363" s="53"/>
      <x:c r="B363" s="53"/>
      <x:c r="C363" s="53"/>
      <x:c r="D363" s="53"/>
      <x:c r="E363" s="58"/>
      <x:c r="F363" s="58"/>
      <x:c r="G363" s="59"/>
      <x:c r="H363" s="59" t="n">
        <x:f>SUMIF(Purchases!$D:$D,B363,Purchases!$F:$F)</x:f>
        <x:v>0</x:v>
      </x:c>
      <x:c r="I363" s="59" t="n">
        <x:f>SUMIF(Sales!$D:$D,B363,Sales!$G:$G)</x:f>
        <x:v>0</x:v>
      </x:c>
      <x:c r="J363" s="59" t="n">
        <x:f>G363+H363-I363</x:f>
        <x:v>0</x:v>
      </x:c>
      <x:c r="K363" s="58" t="n">
        <x:f>J363*E363</x:f>
        <x:v>0</x:v>
      </x:c>
      <x:c r="L363" s="59"/>
      <x:c r="M363" s="53"/>
      <x:c r="N363" s="60" t="n">
        <x:f>IFERROR(MAXIFS(Purchases!$B:$B,Purchases!$D:$D,B363),"")</x:f>
        <x:v>0</x:v>
      </x:c>
      <x:c r="O363" s="50"/>
    </x:row>
    <x:row r="364">
      <x:c r="A364" s="53"/>
      <x:c r="B364" s="53"/>
      <x:c r="C364" s="53"/>
      <x:c r="D364" s="53"/>
      <x:c r="E364" s="58"/>
      <x:c r="F364" s="58"/>
      <x:c r="G364" s="59"/>
      <x:c r="H364" s="59" t="n">
        <x:f>SUMIF(Purchases!$D:$D,B364,Purchases!$F:$F)</x:f>
        <x:v>0</x:v>
      </x:c>
      <x:c r="I364" s="59" t="n">
        <x:f>SUMIF(Sales!$D:$D,B364,Sales!$G:$G)</x:f>
        <x:v>0</x:v>
      </x:c>
      <x:c r="J364" s="59" t="n">
        <x:f>G364+H364-I364</x:f>
        <x:v>0</x:v>
      </x:c>
      <x:c r="K364" s="58" t="n">
        <x:f>J364*E364</x:f>
        <x:v>0</x:v>
      </x:c>
      <x:c r="L364" s="59"/>
      <x:c r="M364" s="53"/>
      <x:c r="N364" s="60" t="n">
        <x:f>IFERROR(MAXIFS(Purchases!$B:$B,Purchases!$D:$D,B364),"")</x:f>
        <x:v>0</x:v>
      </x:c>
      <x:c r="O364" s="50"/>
    </x:row>
    <x:row r="365">
      <x:c r="A365" s="53"/>
      <x:c r="B365" s="53"/>
      <x:c r="C365" s="53"/>
      <x:c r="D365" s="53"/>
      <x:c r="E365" s="58"/>
      <x:c r="F365" s="58"/>
      <x:c r="G365" s="59"/>
      <x:c r="H365" s="59" t="n">
        <x:f>SUMIF(Purchases!$D:$D,B365,Purchases!$F:$F)</x:f>
        <x:v>0</x:v>
      </x:c>
      <x:c r="I365" s="59" t="n">
        <x:f>SUMIF(Sales!$D:$D,B365,Sales!$G:$G)</x:f>
        <x:v>0</x:v>
      </x:c>
      <x:c r="J365" s="59" t="n">
        <x:f>G365+H365-I365</x:f>
        <x:v>0</x:v>
      </x:c>
      <x:c r="K365" s="58" t="n">
        <x:f>J365*E365</x:f>
        <x:v>0</x:v>
      </x:c>
      <x:c r="L365" s="59"/>
      <x:c r="M365" s="53"/>
      <x:c r="N365" s="60" t="n">
        <x:f>IFERROR(MAXIFS(Purchases!$B:$B,Purchases!$D:$D,B365),"")</x:f>
        <x:v>0</x:v>
      </x:c>
      <x:c r="O365" s="50"/>
    </x:row>
    <x:row r="366">
      <x:c r="A366" s="53"/>
      <x:c r="B366" s="53"/>
      <x:c r="C366" s="53"/>
      <x:c r="D366" s="53"/>
      <x:c r="E366" s="58"/>
      <x:c r="F366" s="58"/>
      <x:c r="G366" s="59"/>
      <x:c r="H366" s="59" t="n">
        <x:f>SUMIF(Purchases!$D:$D,B366,Purchases!$F:$F)</x:f>
        <x:v>0</x:v>
      </x:c>
      <x:c r="I366" s="59" t="n">
        <x:f>SUMIF(Sales!$D:$D,B366,Sales!$G:$G)</x:f>
        <x:v>0</x:v>
      </x:c>
      <x:c r="J366" s="59" t="n">
        <x:f>G366+H366-I366</x:f>
        <x:v>0</x:v>
      </x:c>
      <x:c r="K366" s="58" t="n">
        <x:f>J366*E366</x:f>
        <x:v>0</x:v>
      </x:c>
      <x:c r="L366" s="59"/>
      <x:c r="M366" s="53"/>
      <x:c r="N366" s="60" t="n">
        <x:f>IFERROR(MAXIFS(Purchases!$B:$B,Purchases!$D:$D,B366),"")</x:f>
        <x:v>0</x:v>
      </x:c>
      <x:c r="O366" s="50"/>
    </x:row>
    <x:row r="367">
      <x:c r="A367" s="53"/>
      <x:c r="B367" s="53"/>
      <x:c r="C367" s="53"/>
      <x:c r="D367" s="53"/>
      <x:c r="E367" s="58"/>
      <x:c r="F367" s="58"/>
      <x:c r="G367" s="59"/>
      <x:c r="H367" s="59" t="n">
        <x:f>SUMIF(Purchases!$D:$D,B367,Purchases!$F:$F)</x:f>
        <x:v>0</x:v>
      </x:c>
      <x:c r="I367" s="59" t="n">
        <x:f>SUMIF(Sales!$D:$D,B367,Sales!$G:$G)</x:f>
        <x:v>0</x:v>
      </x:c>
      <x:c r="J367" s="59" t="n">
        <x:f>G367+H367-I367</x:f>
        <x:v>0</x:v>
      </x:c>
      <x:c r="K367" s="58" t="n">
        <x:f>J367*E367</x:f>
        <x:v>0</x:v>
      </x:c>
      <x:c r="L367" s="59"/>
      <x:c r="M367" s="53"/>
      <x:c r="N367" s="60" t="n">
        <x:f>IFERROR(MAXIFS(Purchases!$B:$B,Purchases!$D:$D,B367),"")</x:f>
        <x:v>0</x:v>
      </x:c>
      <x:c r="O367" s="50"/>
    </x:row>
    <x:row r="368">
      <x:c r="A368" s="53"/>
      <x:c r="B368" s="53"/>
      <x:c r="C368" s="53"/>
      <x:c r="D368" s="53"/>
      <x:c r="E368" s="58"/>
      <x:c r="F368" s="58"/>
      <x:c r="G368" s="59"/>
      <x:c r="H368" s="59" t="n">
        <x:f>SUMIF(Purchases!$D:$D,B368,Purchases!$F:$F)</x:f>
        <x:v>0</x:v>
      </x:c>
      <x:c r="I368" s="59" t="n">
        <x:f>SUMIF(Sales!$D:$D,B368,Sales!$G:$G)</x:f>
        <x:v>0</x:v>
      </x:c>
      <x:c r="J368" s="59" t="n">
        <x:f>G368+H368-I368</x:f>
        <x:v>0</x:v>
      </x:c>
      <x:c r="K368" s="58" t="n">
        <x:f>J368*E368</x:f>
        <x:v>0</x:v>
      </x:c>
      <x:c r="L368" s="59"/>
      <x:c r="M368" s="53"/>
      <x:c r="N368" s="60" t="n">
        <x:f>IFERROR(MAXIFS(Purchases!$B:$B,Purchases!$D:$D,B368),"")</x:f>
        <x:v>0</x:v>
      </x:c>
      <x:c r="O368" s="50"/>
    </x:row>
    <x:row r="369">
      <x:c r="A369" s="53"/>
      <x:c r="B369" s="53"/>
      <x:c r="C369" s="53"/>
      <x:c r="D369" s="53"/>
      <x:c r="E369" s="58"/>
      <x:c r="F369" s="58"/>
      <x:c r="G369" s="59"/>
      <x:c r="H369" s="59" t="n">
        <x:f>SUMIF(Purchases!$D:$D,B369,Purchases!$F:$F)</x:f>
        <x:v>0</x:v>
      </x:c>
      <x:c r="I369" s="59" t="n">
        <x:f>SUMIF(Sales!$D:$D,B369,Sales!$G:$G)</x:f>
        <x:v>0</x:v>
      </x:c>
      <x:c r="J369" s="59" t="n">
        <x:f>G369+H369-I369</x:f>
        <x:v>0</x:v>
      </x:c>
      <x:c r="K369" s="58" t="n">
        <x:f>J369*E369</x:f>
        <x:v>0</x:v>
      </x:c>
      <x:c r="L369" s="59"/>
      <x:c r="M369" s="53"/>
      <x:c r="N369" s="60" t="n">
        <x:f>IFERROR(MAXIFS(Purchases!$B:$B,Purchases!$D:$D,B369),"")</x:f>
        <x:v>0</x:v>
      </x:c>
      <x:c r="O369" s="50"/>
    </x:row>
    <x:row r="370">
      <x:c r="A370" s="53"/>
      <x:c r="B370" s="53"/>
      <x:c r="C370" s="53"/>
      <x:c r="D370" s="53"/>
      <x:c r="E370" s="58"/>
      <x:c r="F370" s="58"/>
      <x:c r="G370" s="59"/>
      <x:c r="H370" s="59" t="n">
        <x:f>SUMIF(Purchases!$D:$D,B370,Purchases!$F:$F)</x:f>
        <x:v>0</x:v>
      </x:c>
      <x:c r="I370" s="59" t="n">
        <x:f>SUMIF(Sales!$D:$D,B370,Sales!$G:$G)</x:f>
        <x:v>0</x:v>
      </x:c>
      <x:c r="J370" s="59" t="n">
        <x:f>G370+H370-I370</x:f>
        <x:v>0</x:v>
      </x:c>
      <x:c r="K370" s="58" t="n">
        <x:f>J370*E370</x:f>
        <x:v>0</x:v>
      </x:c>
      <x:c r="L370" s="59"/>
      <x:c r="M370" s="53"/>
      <x:c r="N370" s="60" t="n">
        <x:f>IFERROR(MAXIFS(Purchases!$B:$B,Purchases!$D:$D,B370),"")</x:f>
        <x:v>0</x:v>
      </x:c>
      <x:c r="O370" s="50"/>
    </x:row>
    <x:row r="371">
      <x:c r="A371" s="53"/>
      <x:c r="B371" s="53"/>
      <x:c r="C371" s="53"/>
      <x:c r="D371" s="53"/>
      <x:c r="E371" s="58"/>
      <x:c r="F371" s="58"/>
      <x:c r="G371" s="59"/>
      <x:c r="H371" s="59" t="n">
        <x:f>SUMIF(Purchases!$D:$D,B371,Purchases!$F:$F)</x:f>
        <x:v>0</x:v>
      </x:c>
      <x:c r="I371" s="59" t="n">
        <x:f>SUMIF(Sales!$D:$D,B371,Sales!$G:$G)</x:f>
        <x:v>0</x:v>
      </x:c>
      <x:c r="J371" s="59" t="n">
        <x:f>G371+H371-I371</x:f>
        <x:v>0</x:v>
      </x:c>
      <x:c r="K371" s="58" t="n">
        <x:f>J371*E371</x:f>
        <x:v>0</x:v>
      </x:c>
      <x:c r="L371" s="59"/>
      <x:c r="M371" s="53"/>
      <x:c r="N371" s="60" t="n">
        <x:f>IFERROR(MAXIFS(Purchases!$B:$B,Purchases!$D:$D,B371),"")</x:f>
        <x:v>0</x:v>
      </x:c>
      <x:c r="O371" s="50"/>
    </x:row>
    <x:row r="372">
      <x:c r="A372" s="53"/>
      <x:c r="B372" s="53"/>
      <x:c r="C372" s="53"/>
      <x:c r="D372" s="53"/>
      <x:c r="E372" s="58"/>
      <x:c r="F372" s="58"/>
      <x:c r="G372" s="59"/>
      <x:c r="H372" s="59" t="n">
        <x:f>SUMIF(Purchases!$D:$D,B372,Purchases!$F:$F)</x:f>
        <x:v>0</x:v>
      </x:c>
      <x:c r="I372" s="59" t="n">
        <x:f>SUMIF(Sales!$D:$D,B372,Sales!$G:$G)</x:f>
        <x:v>0</x:v>
      </x:c>
      <x:c r="J372" s="59" t="n">
        <x:f>G372+H372-I372</x:f>
        <x:v>0</x:v>
      </x:c>
      <x:c r="K372" s="58" t="n">
        <x:f>J372*E372</x:f>
        <x:v>0</x:v>
      </x:c>
      <x:c r="L372" s="59"/>
      <x:c r="M372" s="53"/>
      <x:c r="N372" s="60" t="n">
        <x:f>IFERROR(MAXIFS(Purchases!$B:$B,Purchases!$D:$D,B372),"")</x:f>
        <x:v>0</x:v>
      </x:c>
      <x:c r="O372" s="50"/>
    </x:row>
    <x:row r="373">
      <x:c r="A373" s="53"/>
      <x:c r="B373" s="53"/>
      <x:c r="C373" s="53"/>
      <x:c r="D373" s="53"/>
      <x:c r="E373" s="58"/>
      <x:c r="F373" s="58"/>
      <x:c r="G373" s="59"/>
      <x:c r="H373" s="59" t="n">
        <x:f>SUMIF(Purchases!$D:$D,B373,Purchases!$F:$F)</x:f>
        <x:v>0</x:v>
      </x:c>
      <x:c r="I373" s="59" t="n">
        <x:f>SUMIF(Sales!$D:$D,B373,Sales!$G:$G)</x:f>
        <x:v>0</x:v>
      </x:c>
      <x:c r="J373" s="59" t="n">
        <x:f>G373+H373-I373</x:f>
        <x:v>0</x:v>
      </x:c>
      <x:c r="K373" s="58" t="n">
        <x:f>J373*E373</x:f>
        <x:v>0</x:v>
      </x:c>
      <x:c r="L373" s="59"/>
      <x:c r="M373" s="53"/>
      <x:c r="N373" s="60" t="n">
        <x:f>IFERROR(MAXIFS(Purchases!$B:$B,Purchases!$D:$D,B373),"")</x:f>
        <x:v>0</x:v>
      </x:c>
      <x:c r="O373" s="50"/>
    </x:row>
    <x:row r="374">
      <x:c r="A374" s="53"/>
      <x:c r="B374" s="53"/>
      <x:c r="C374" s="53"/>
      <x:c r="D374" s="53"/>
      <x:c r="E374" s="58"/>
      <x:c r="F374" s="58"/>
      <x:c r="G374" s="59"/>
      <x:c r="H374" s="59" t="n">
        <x:f>SUMIF(Purchases!$D:$D,B374,Purchases!$F:$F)</x:f>
        <x:v>0</x:v>
      </x:c>
      <x:c r="I374" s="59" t="n">
        <x:f>SUMIF(Sales!$D:$D,B374,Sales!$G:$G)</x:f>
        <x:v>0</x:v>
      </x:c>
      <x:c r="J374" s="59" t="n">
        <x:f>G374+H374-I374</x:f>
        <x:v>0</x:v>
      </x:c>
      <x:c r="K374" s="58" t="n">
        <x:f>J374*E374</x:f>
        <x:v>0</x:v>
      </x:c>
      <x:c r="L374" s="59"/>
      <x:c r="M374" s="53"/>
      <x:c r="N374" s="60" t="n">
        <x:f>IFERROR(MAXIFS(Purchases!$B:$B,Purchases!$D:$D,B374),"")</x:f>
        <x:v>0</x:v>
      </x:c>
      <x:c r="O374" s="50"/>
    </x:row>
    <x:row r="375">
      <x:c r="A375" s="53"/>
      <x:c r="B375" s="53"/>
      <x:c r="C375" s="53"/>
      <x:c r="D375" s="53"/>
      <x:c r="E375" s="58"/>
      <x:c r="F375" s="58"/>
      <x:c r="G375" s="59"/>
      <x:c r="H375" s="59" t="n">
        <x:f>SUMIF(Purchases!$D:$D,B375,Purchases!$F:$F)</x:f>
        <x:v>0</x:v>
      </x:c>
      <x:c r="I375" s="59" t="n">
        <x:f>SUMIF(Sales!$D:$D,B375,Sales!$G:$G)</x:f>
        <x:v>0</x:v>
      </x:c>
      <x:c r="J375" s="59" t="n">
        <x:f>G375+H375-I375</x:f>
        <x:v>0</x:v>
      </x:c>
      <x:c r="K375" s="58" t="n">
        <x:f>J375*E375</x:f>
        <x:v>0</x:v>
      </x:c>
      <x:c r="L375" s="59"/>
      <x:c r="M375" s="53"/>
      <x:c r="N375" s="60" t="n">
        <x:f>IFERROR(MAXIFS(Purchases!$B:$B,Purchases!$D:$D,B375),"")</x:f>
        <x:v>0</x:v>
      </x:c>
      <x:c r="O375" s="50"/>
    </x:row>
    <x:row r="376">
      <x:c r="A376" s="53"/>
      <x:c r="B376" s="53"/>
      <x:c r="C376" s="53"/>
      <x:c r="D376" s="53"/>
      <x:c r="E376" s="58"/>
      <x:c r="F376" s="58"/>
      <x:c r="G376" s="59"/>
      <x:c r="H376" s="59" t="n">
        <x:f>SUMIF(Purchases!$D:$D,B376,Purchases!$F:$F)</x:f>
        <x:v>0</x:v>
      </x:c>
      <x:c r="I376" s="59" t="n">
        <x:f>SUMIF(Sales!$D:$D,B376,Sales!$G:$G)</x:f>
        <x:v>0</x:v>
      </x:c>
      <x:c r="J376" s="59" t="n">
        <x:f>G376+H376-I376</x:f>
        <x:v>0</x:v>
      </x:c>
      <x:c r="K376" s="58" t="n">
        <x:f>J376*E376</x:f>
        <x:v>0</x:v>
      </x:c>
      <x:c r="L376" s="59"/>
      <x:c r="M376" s="53"/>
      <x:c r="N376" s="60" t="n">
        <x:f>IFERROR(MAXIFS(Purchases!$B:$B,Purchases!$D:$D,B376),"")</x:f>
        <x:v>0</x:v>
      </x:c>
      <x:c r="O376" s="50"/>
    </x:row>
    <x:row r="377">
      <x:c r="A377" s="53"/>
      <x:c r="B377" s="53"/>
      <x:c r="C377" s="53"/>
      <x:c r="D377" s="53"/>
      <x:c r="E377" s="58"/>
      <x:c r="F377" s="58"/>
      <x:c r="G377" s="59"/>
      <x:c r="H377" s="59" t="n">
        <x:f>SUMIF(Purchases!$D:$D,B377,Purchases!$F:$F)</x:f>
        <x:v>0</x:v>
      </x:c>
      <x:c r="I377" s="59" t="n">
        <x:f>SUMIF(Sales!$D:$D,B377,Sales!$G:$G)</x:f>
        <x:v>0</x:v>
      </x:c>
      <x:c r="J377" s="59" t="n">
        <x:f>G377+H377-I377</x:f>
        <x:v>0</x:v>
      </x:c>
      <x:c r="K377" s="58" t="n">
        <x:f>J377*E377</x:f>
        <x:v>0</x:v>
      </x:c>
      <x:c r="L377" s="59"/>
      <x:c r="M377" s="53"/>
      <x:c r="N377" s="60" t="n">
        <x:f>IFERROR(MAXIFS(Purchases!$B:$B,Purchases!$D:$D,B377),"")</x:f>
        <x:v>0</x:v>
      </x:c>
      <x:c r="O377" s="50"/>
    </x:row>
    <x:row r="378">
      <x:c r="A378" s="53"/>
      <x:c r="B378" s="53"/>
      <x:c r="C378" s="53"/>
      <x:c r="D378" s="53"/>
      <x:c r="E378" s="58"/>
      <x:c r="F378" s="58"/>
      <x:c r="G378" s="59"/>
      <x:c r="H378" s="59" t="n">
        <x:f>SUMIF(Purchases!$D:$D,B378,Purchases!$F:$F)</x:f>
        <x:v>0</x:v>
      </x:c>
      <x:c r="I378" s="59" t="n">
        <x:f>SUMIF(Sales!$D:$D,B378,Sales!$G:$G)</x:f>
        <x:v>0</x:v>
      </x:c>
      <x:c r="J378" s="59" t="n">
        <x:f>G378+H378-I378</x:f>
        <x:v>0</x:v>
      </x:c>
      <x:c r="K378" s="58" t="n">
        <x:f>J378*E378</x:f>
        <x:v>0</x:v>
      </x:c>
      <x:c r="L378" s="59"/>
      <x:c r="M378" s="53"/>
      <x:c r="N378" s="60" t="n">
        <x:f>IFERROR(MAXIFS(Purchases!$B:$B,Purchases!$D:$D,B378),"")</x:f>
        <x:v>0</x:v>
      </x:c>
      <x:c r="O378" s="50"/>
    </x:row>
    <x:row r="379">
      <x:c r="A379" s="53"/>
      <x:c r="B379" s="53"/>
      <x:c r="C379" s="53"/>
      <x:c r="D379" s="53"/>
      <x:c r="E379" s="58"/>
      <x:c r="F379" s="58"/>
      <x:c r="G379" s="59"/>
      <x:c r="H379" s="59" t="n">
        <x:f>SUMIF(Purchases!$D:$D,B379,Purchases!$F:$F)</x:f>
        <x:v>0</x:v>
      </x:c>
      <x:c r="I379" s="59" t="n">
        <x:f>SUMIF(Sales!$D:$D,B379,Sales!$G:$G)</x:f>
        <x:v>0</x:v>
      </x:c>
      <x:c r="J379" s="59" t="n">
        <x:f>G379+H379-I379</x:f>
        <x:v>0</x:v>
      </x:c>
      <x:c r="K379" s="58" t="n">
        <x:f>J379*E379</x:f>
        <x:v>0</x:v>
      </x:c>
      <x:c r="L379" s="59"/>
      <x:c r="M379" s="53"/>
      <x:c r="N379" s="60" t="n">
        <x:f>IFERROR(MAXIFS(Purchases!$B:$B,Purchases!$D:$D,B379),"")</x:f>
        <x:v>0</x:v>
      </x:c>
      <x:c r="O379" s="50"/>
    </x:row>
    <x:row r="380">
      <x:c r="A380" s="53"/>
      <x:c r="B380" s="53"/>
      <x:c r="C380" s="53"/>
      <x:c r="D380" s="53"/>
      <x:c r="E380" s="58"/>
      <x:c r="F380" s="58"/>
      <x:c r="G380" s="59"/>
      <x:c r="H380" s="59" t="n">
        <x:f>SUMIF(Purchases!$D:$D,B380,Purchases!$F:$F)</x:f>
        <x:v>0</x:v>
      </x:c>
      <x:c r="I380" s="59" t="n">
        <x:f>SUMIF(Sales!$D:$D,B380,Sales!$G:$G)</x:f>
        <x:v>0</x:v>
      </x:c>
      <x:c r="J380" s="59" t="n">
        <x:f>G380+H380-I380</x:f>
        <x:v>0</x:v>
      </x:c>
      <x:c r="K380" s="58" t="n">
        <x:f>J380*E380</x:f>
        <x:v>0</x:v>
      </x:c>
      <x:c r="L380" s="59"/>
      <x:c r="M380" s="53"/>
      <x:c r="N380" s="60" t="n">
        <x:f>IFERROR(MAXIFS(Purchases!$B:$B,Purchases!$D:$D,B380),"")</x:f>
        <x:v>0</x:v>
      </x:c>
      <x:c r="O380" s="50"/>
    </x:row>
    <x:row r="381">
      <x:c r="A381" s="53"/>
      <x:c r="B381" s="53"/>
      <x:c r="C381" s="53"/>
      <x:c r="D381" s="53"/>
      <x:c r="E381" s="58"/>
      <x:c r="F381" s="58"/>
      <x:c r="G381" s="59"/>
      <x:c r="H381" s="59" t="n">
        <x:f>SUMIF(Purchases!$D:$D,B381,Purchases!$F:$F)</x:f>
        <x:v>0</x:v>
      </x:c>
      <x:c r="I381" s="59" t="n">
        <x:f>SUMIF(Sales!$D:$D,B381,Sales!$G:$G)</x:f>
        <x:v>0</x:v>
      </x:c>
      <x:c r="J381" s="59" t="n">
        <x:f>G381+H381-I381</x:f>
        <x:v>0</x:v>
      </x:c>
      <x:c r="K381" s="58" t="n">
        <x:f>J381*E381</x:f>
        <x:v>0</x:v>
      </x:c>
      <x:c r="L381" s="59"/>
      <x:c r="M381" s="53"/>
      <x:c r="N381" s="60" t="n">
        <x:f>IFERROR(MAXIFS(Purchases!$B:$B,Purchases!$D:$D,B381),"")</x:f>
        <x:v>0</x:v>
      </x:c>
      <x:c r="O381" s="50"/>
    </x:row>
    <x:row r="382">
      <x:c r="A382" s="53"/>
      <x:c r="B382" s="53"/>
      <x:c r="C382" s="53"/>
      <x:c r="D382" s="53"/>
      <x:c r="E382" s="58"/>
      <x:c r="F382" s="58"/>
      <x:c r="G382" s="59"/>
      <x:c r="H382" s="59" t="n">
        <x:f>SUMIF(Purchases!$D:$D,B382,Purchases!$F:$F)</x:f>
        <x:v>0</x:v>
      </x:c>
      <x:c r="I382" s="59" t="n">
        <x:f>SUMIF(Sales!$D:$D,B382,Sales!$G:$G)</x:f>
        <x:v>0</x:v>
      </x:c>
      <x:c r="J382" s="59" t="n">
        <x:f>G382+H382-I382</x:f>
        <x:v>0</x:v>
      </x:c>
      <x:c r="K382" s="58" t="n">
        <x:f>J382*E382</x:f>
        <x:v>0</x:v>
      </x:c>
      <x:c r="L382" s="59"/>
      <x:c r="M382" s="53"/>
      <x:c r="N382" s="60" t="n">
        <x:f>IFERROR(MAXIFS(Purchases!$B:$B,Purchases!$D:$D,B382),"")</x:f>
        <x:v>0</x:v>
      </x:c>
      <x:c r="O382" s="50"/>
    </x:row>
    <x:row r="383">
      <x:c r="A383" s="53"/>
      <x:c r="B383" s="53"/>
      <x:c r="C383" s="53"/>
      <x:c r="D383" s="53"/>
      <x:c r="E383" s="58"/>
      <x:c r="F383" s="58"/>
      <x:c r="G383" s="59"/>
      <x:c r="H383" s="59" t="n">
        <x:f>SUMIF(Purchases!$D:$D,B383,Purchases!$F:$F)</x:f>
        <x:v>0</x:v>
      </x:c>
      <x:c r="I383" s="59" t="n">
        <x:f>SUMIF(Sales!$D:$D,B383,Sales!$G:$G)</x:f>
        <x:v>0</x:v>
      </x:c>
      <x:c r="J383" s="59" t="n">
        <x:f>G383+H383-I383</x:f>
        <x:v>0</x:v>
      </x:c>
      <x:c r="K383" s="58" t="n">
        <x:f>J383*E383</x:f>
        <x:v>0</x:v>
      </x:c>
      <x:c r="L383" s="59"/>
      <x:c r="M383" s="53"/>
      <x:c r="N383" s="60" t="n">
        <x:f>IFERROR(MAXIFS(Purchases!$B:$B,Purchases!$D:$D,B383),"")</x:f>
        <x:v>0</x:v>
      </x:c>
      <x:c r="O383" s="50"/>
    </x:row>
    <x:row r="384">
      <x:c r="A384" s="53"/>
      <x:c r="B384" s="53"/>
      <x:c r="C384" s="53"/>
      <x:c r="D384" s="53"/>
      <x:c r="E384" s="58"/>
      <x:c r="F384" s="58"/>
      <x:c r="G384" s="59"/>
      <x:c r="H384" s="59" t="n">
        <x:f>SUMIF(Purchases!$D:$D,B384,Purchases!$F:$F)</x:f>
        <x:v>0</x:v>
      </x:c>
      <x:c r="I384" s="59" t="n">
        <x:f>SUMIF(Sales!$D:$D,B384,Sales!$G:$G)</x:f>
        <x:v>0</x:v>
      </x:c>
      <x:c r="J384" s="59" t="n">
        <x:f>G384+H384-I384</x:f>
        <x:v>0</x:v>
      </x:c>
      <x:c r="K384" s="58" t="n">
        <x:f>J384*E384</x:f>
        <x:v>0</x:v>
      </x:c>
      <x:c r="L384" s="59"/>
      <x:c r="M384" s="53"/>
      <x:c r="N384" s="60" t="n">
        <x:f>IFERROR(MAXIFS(Purchases!$B:$B,Purchases!$D:$D,B384),"")</x:f>
        <x:v>0</x:v>
      </x:c>
      <x:c r="O384" s="50"/>
    </x:row>
    <x:row r="385">
      <x:c r="A385" s="53"/>
      <x:c r="B385" s="53"/>
      <x:c r="C385" s="53"/>
      <x:c r="D385" s="53"/>
      <x:c r="E385" s="58"/>
      <x:c r="F385" s="58"/>
      <x:c r="G385" s="59"/>
      <x:c r="H385" s="59" t="n">
        <x:f>SUMIF(Purchases!$D:$D,B385,Purchases!$F:$F)</x:f>
        <x:v>0</x:v>
      </x:c>
      <x:c r="I385" s="59" t="n">
        <x:f>SUMIF(Sales!$D:$D,B385,Sales!$G:$G)</x:f>
        <x:v>0</x:v>
      </x:c>
      <x:c r="J385" s="59" t="n">
        <x:f>G385+H385-I385</x:f>
        <x:v>0</x:v>
      </x:c>
      <x:c r="K385" s="58" t="n">
        <x:f>J385*E385</x:f>
        <x:v>0</x:v>
      </x:c>
      <x:c r="L385" s="59"/>
      <x:c r="M385" s="53"/>
      <x:c r="N385" s="60" t="n">
        <x:f>IFERROR(MAXIFS(Purchases!$B:$B,Purchases!$D:$D,B385),"")</x:f>
        <x:v>0</x:v>
      </x:c>
      <x:c r="O385" s="50"/>
    </x:row>
    <x:row r="386">
      <x:c r="A386" s="53"/>
      <x:c r="B386" s="53"/>
      <x:c r="C386" s="53"/>
      <x:c r="D386" s="53"/>
      <x:c r="E386" s="58"/>
      <x:c r="F386" s="58"/>
      <x:c r="G386" s="59"/>
      <x:c r="H386" s="59" t="n">
        <x:f>SUMIF(Purchases!$D:$D,B386,Purchases!$F:$F)</x:f>
        <x:v>0</x:v>
      </x:c>
      <x:c r="I386" s="59" t="n">
        <x:f>SUMIF(Sales!$D:$D,B386,Sales!$G:$G)</x:f>
        <x:v>0</x:v>
      </x:c>
      <x:c r="J386" s="59" t="n">
        <x:f>G386+H386-I386</x:f>
        <x:v>0</x:v>
      </x:c>
      <x:c r="K386" s="58" t="n">
        <x:f>J386*E386</x:f>
        <x:v>0</x:v>
      </x:c>
      <x:c r="L386" s="59"/>
      <x:c r="M386" s="53"/>
      <x:c r="N386" s="60" t="n">
        <x:f>IFERROR(MAXIFS(Purchases!$B:$B,Purchases!$D:$D,B386),"")</x:f>
        <x:v>0</x:v>
      </x:c>
      <x:c r="O386" s="50"/>
    </x:row>
    <x:row r="387">
      <x:c r="A387" s="53"/>
      <x:c r="B387" s="53"/>
      <x:c r="C387" s="53"/>
      <x:c r="D387" s="53"/>
      <x:c r="E387" s="58"/>
      <x:c r="F387" s="58"/>
      <x:c r="G387" s="59"/>
      <x:c r="H387" s="59" t="n">
        <x:f>SUMIF(Purchases!$D:$D,B387,Purchases!$F:$F)</x:f>
        <x:v>0</x:v>
      </x:c>
      <x:c r="I387" s="59" t="n">
        <x:f>SUMIF(Sales!$D:$D,B387,Sales!$G:$G)</x:f>
        <x:v>0</x:v>
      </x:c>
      <x:c r="J387" s="59" t="n">
        <x:f>G387+H387-I387</x:f>
        <x:v>0</x:v>
      </x:c>
      <x:c r="K387" s="58" t="n">
        <x:f>J387*E387</x:f>
        <x:v>0</x:v>
      </x:c>
      <x:c r="L387" s="59"/>
      <x:c r="M387" s="53"/>
      <x:c r="N387" s="60" t="n">
        <x:f>IFERROR(MAXIFS(Purchases!$B:$B,Purchases!$D:$D,B387),"")</x:f>
        <x:v>0</x:v>
      </x:c>
      <x:c r="O387" s="50"/>
    </x:row>
    <x:row r="388">
      <x:c r="A388" s="53"/>
      <x:c r="B388" s="53"/>
      <x:c r="C388" s="53"/>
      <x:c r="D388" s="53"/>
      <x:c r="E388" s="58"/>
      <x:c r="F388" s="58"/>
      <x:c r="G388" s="59"/>
      <x:c r="H388" s="59" t="n">
        <x:f>SUMIF(Purchases!$D:$D,B388,Purchases!$F:$F)</x:f>
        <x:v>0</x:v>
      </x:c>
      <x:c r="I388" s="59" t="n">
        <x:f>SUMIF(Sales!$D:$D,B388,Sales!$G:$G)</x:f>
        <x:v>0</x:v>
      </x:c>
      <x:c r="J388" s="59" t="n">
        <x:f>G388+H388-I388</x:f>
        <x:v>0</x:v>
      </x:c>
      <x:c r="K388" s="58" t="n">
        <x:f>J388*E388</x:f>
        <x:v>0</x:v>
      </x:c>
      <x:c r="L388" s="59"/>
      <x:c r="M388" s="53"/>
      <x:c r="N388" s="60" t="n">
        <x:f>IFERROR(MAXIFS(Purchases!$B:$B,Purchases!$D:$D,B388),"")</x:f>
        <x:v>0</x:v>
      </x:c>
      <x:c r="O388" s="50"/>
    </x:row>
    <x:row r="389">
      <x:c r="A389" s="53"/>
      <x:c r="B389" s="53"/>
      <x:c r="C389" s="53"/>
      <x:c r="D389" s="53"/>
      <x:c r="E389" s="58"/>
      <x:c r="F389" s="58"/>
      <x:c r="G389" s="59"/>
      <x:c r="H389" s="59" t="n">
        <x:f>SUMIF(Purchases!$D:$D,B389,Purchases!$F:$F)</x:f>
        <x:v>0</x:v>
      </x:c>
      <x:c r="I389" s="59" t="n">
        <x:f>SUMIF(Sales!$D:$D,B389,Sales!$G:$G)</x:f>
        <x:v>0</x:v>
      </x:c>
      <x:c r="J389" s="59" t="n">
        <x:f>G389+H389-I389</x:f>
        <x:v>0</x:v>
      </x:c>
      <x:c r="K389" s="58" t="n">
        <x:f>J389*E389</x:f>
        <x:v>0</x:v>
      </x:c>
      <x:c r="L389" s="59"/>
      <x:c r="M389" s="53"/>
      <x:c r="N389" s="60" t="n">
        <x:f>IFERROR(MAXIFS(Purchases!$B:$B,Purchases!$D:$D,B389),"")</x:f>
        <x:v>0</x:v>
      </x:c>
      <x:c r="O389" s="50"/>
    </x:row>
    <x:row r="390">
      <x:c r="A390" s="53"/>
      <x:c r="B390" s="53"/>
      <x:c r="C390" s="53"/>
      <x:c r="D390" s="53"/>
      <x:c r="E390" s="58"/>
      <x:c r="F390" s="58"/>
      <x:c r="G390" s="59"/>
      <x:c r="H390" s="59" t="n">
        <x:f>SUMIF(Purchases!$D:$D,B390,Purchases!$F:$F)</x:f>
        <x:v>0</x:v>
      </x:c>
      <x:c r="I390" s="59" t="n">
        <x:f>SUMIF(Sales!$D:$D,B390,Sales!$G:$G)</x:f>
        <x:v>0</x:v>
      </x:c>
      <x:c r="J390" s="59" t="n">
        <x:f>G390+H390-I390</x:f>
        <x:v>0</x:v>
      </x:c>
      <x:c r="K390" s="58" t="n">
        <x:f>J390*E390</x:f>
        <x:v>0</x:v>
      </x:c>
      <x:c r="L390" s="59"/>
      <x:c r="M390" s="53"/>
      <x:c r="N390" s="60" t="n">
        <x:f>IFERROR(MAXIFS(Purchases!$B:$B,Purchases!$D:$D,B390),"")</x:f>
        <x:v>0</x:v>
      </x:c>
      <x:c r="O390" s="50"/>
    </x:row>
    <x:row r="391">
      <x:c r="A391" s="53"/>
      <x:c r="B391" s="53"/>
      <x:c r="C391" s="53"/>
      <x:c r="D391" s="53"/>
      <x:c r="E391" s="58"/>
      <x:c r="F391" s="58"/>
      <x:c r="G391" s="59"/>
      <x:c r="H391" s="59" t="n">
        <x:f>SUMIF(Purchases!$D:$D,B391,Purchases!$F:$F)</x:f>
        <x:v>0</x:v>
      </x:c>
      <x:c r="I391" s="59" t="n">
        <x:f>SUMIF(Sales!$D:$D,B391,Sales!$G:$G)</x:f>
        <x:v>0</x:v>
      </x:c>
      <x:c r="J391" s="59" t="n">
        <x:f>G391+H391-I391</x:f>
        <x:v>0</x:v>
      </x:c>
      <x:c r="K391" s="58" t="n">
        <x:f>J391*E391</x:f>
        <x:v>0</x:v>
      </x:c>
      <x:c r="L391" s="59"/>
      <x:c r="M391" s="53"/>
      <x:c r="N391" s="60" t="n">
        <x:f>IFERROR(MAXIFS(Purchases!$B:$B,Purchases!$D:$D,B391),"")</x:f>
        <x:v>0</x:v>
      </x:c>
      <x:c r="O391" s="50"/>
    </x:row>
    <x:row r="392">
      <x:c r="A392" s="53"/>
      <x:c r="B392" s="53"/>
      <x:c r="C392" s="53"/>
      <x:c r="D392" s="53"/>
      <x:c r="E392" s="58"/>
      <x:c r="F392" s="58"/>
      <x:c r="G392" s="59"/>
      <x:c r="H392" s="59" t="n">
        <x:f>SUMIF(Purchases!$D:$D,B392,Purchases!$F:$F)</x:f>
        <x:v>0</x:v>
      </x:c>
      <x:c r="I392" s="59" t="n">
        <x:f>SUMIF(Sales!$D:$D,B392,Sales!$G:$G)</x:f>
        <x:v>0</x:v>
      </x:c>
      <x:c r="J392" s="59" t="n">
        <x:f>G392+H392-I392</x:f>
        <x:v>0</x:v>
      </x:c>
      <x:c r="K392" s="58" t="n">
        <x:f>J392*E392</x:f>
        <x:v>0</x:v>
      </x:c>
      <x:c r="L392" s="59"/>
      <x:c r="M392" s="53"/>
      <x:c r="N392" s="60" t="n">
        <x:f>IFERROR(MAXIFS(Purchases!$B:$B,Purchases!$D:$D,B392),"")</x:f>
        <x:v>0</x:v>
      </x:c>
      <x:c r="O392" s="50"/>
    </x:row>
    <x:row r="393">
      <x:c r="A393" s="53"/>
      <x:c r="B393" s="53"/>
      <x:c r="C393" s="53"/>
      <x:c r="D393" s="53"/>
      <x:c r="E393" s="58"/>
      <x:c r="F393" s="58"/>
      <x:c r="G393" s="59"/>
      <x:c r="H393" s="59" t="n">
        <x:f>SUMIF(Purchases!$D:$D,B393,Purchases!$F:$F)</x:f>
        <x:v>0</x:v>
      </x:c>
      <x:c r="I393" s="59" t="n">
        <x:f>SUMIF(Sales!$D:$D,B393,Sales!$G:$G)</x:f>
        <x:v>0</x:v>
      </x:c>
      <x:c r="J393" s="59" t="n">
        <x:f>G393+H393-I393</x:f>
        <x:v>0</x:v>
      </x:c>
      <x:c r="K393" s="58" t="n">
        <x:f>J393*E393</x:f>
        <x:v>0</x:v>
      </x:c>
      <x:c r="L393" s="59"/>
      <x:c r="M393" s="53"/>
      <x:c r="N393" s="60" t="n">
        <x:f>IFERROR(MAXIFS(Purchases!$B:$B,Purchases!$D:$D,B393),"")</x:f>
        <x:v>0</x:v>
      </x:c>
      <x:c r="O393" s="50"/>
    </x:row>
    <x:row r="394">
      <x:c r="A394" s="53"/>
      <x:c r="B394" s="53"/>
      <x:c r="C394" s="53"/>
      <x:c r="D394" s="53"/>
      <x:c r="E394" s="58"/>
      <x:c r="F394" s="58"/>
      <x:c r="G394" s="59"/>
      <x:c r="H394" s="59" t="n">
        <x:f>SUMIF(Purchases!$D:$D,B394,Purchases!$F:$F)</x:f>
        <x:v>0</x:v>
      </x:c>
      <x:c r="I394" s="59" t="n">
        <x:f>SUMIF(Sales!$D:$D,B394,Sales!$G:$G)</x:f>
        <x:v>0</x:v>
      </x:c>
      <x:c r="J394" s="59" t="n">
        <x:f>G394+H394-I394</x:f>
        <x:v>0</x:v>
      </x:c>
      <x:c r="K394" s="58" t="n">
        <x:f>J394*E394</x:f>
        <x:v>0</x:v>
      </x:c>
      <x:c r="L394" s="59"/>
      <x:c r="M394" s="53"/>
      <x:c r="N394" s="60" t="n">
        <x:f>IFERROR(MAXIFS(Purchases!$B:$B,Purchases!$D:$D,B394),"")</x:f>
        <x:v>0</x:v>
      </x:c>
      <x:c r="O394" s="50"/>
    </x:row>
    <x:row r="395">
      <x:c r="A395" s="53"/>
      <x:c r="B395" s="53"/>
      <x:c r="C395" s="53"/>
      <x:c r="D395" s="53"/>
      <x:c r="E395" s="58"/>
      <x:c r="F395" s="58"/>
      <x:c r="G395" s="59"/>
      <x:c r="H395" s="59" t="n">
        <x:f>SUMIF(Purchases!$D:$D,B395,Purchases!$F:$F)</x:f>
        <x:v>0</x:v>
      </x:c>
      <x:c r="I395" s="59" t="n">
        <x:f>SUMIF(Sales!$D:$D,B395,Sales!$G:$G)</x:f>
        <x:v>0</x:v>
      </x:c>
      <x:c r="J395" s="59" t="n">
        <x:f>G395+H395-I395</x:f>
        <x:v>0</x:v>
      </x:c>
      <x:c r="K395" s="58" t="n">
        <x:f>J395*E395</x:f>
        <x:v>0</x:v>
      </x:c>
      <x:c r="L395" s="59"/>
      <x:c r="M395" s="53"/>
      <x:c r="N395" s="60" t="n">
        <x:f>IFERROR(MAXIFS(Purchases!$B:$B,Purchases!$D:$D,B395),"")</x:f>
        <x:v>0</x:v>
      </x:c>
      <x:c r="O395" s="50"/>
    </x:row>
    <x:row r="396">
      <x:c r="A396" s="53"/>
      <x:c r="B396" s="53"/>
      <x:c r="C396" s="53"/>
      <x:c r="D396" s="53"/>
      <x:c r="E396" s="58"/>
      <x:c r="F396" s="58"/>
      <x:c r="G396" s="59"/>
      <x:c r="H396" s="59" t="n">
        <x:f>SUMIF(Purchases!$D:$D,B396,Purchases!$F:$F)</x:f>
        <x:v>0</x:v>
      </x:c>
      <x:c r="I396" s="59" t="n">
        <x:f>SUMIF(Sales!$D:$D,B396,Sales!$G:$G)</x:f>
        <x:v>0</x:v>
      </x:c>
      <x:c r="J396" s="59" t="n">
        <x:f>G396+H396-I396</x:f>
        <x:v>0</x:v>
      </x:c>
      <x:c r="K396" s="58" t="n">
        <x:f>J396*E396</x:f>
        <x:v>0</x:v>
      </x:c>
      <x:c r="L396" s="59"/>
      <x:c r="M396" s="53"/>
      <x:c r="N396" s="60" t="n">
        <x:f>IFERROR(MAXIFS(Purchases!$B:$B,Purchases!$D:$D,B396),"")</x:f>
        <x:v>0</x:v>
      </x:c>
      <x:c r="O396" s="50"/>
    </x:row>
    <x:row r="397">
      <x:c r="A397" s="53"/>
      <x:c r="B397" s="53"/>
      <x:c r="C397" s="53"/>
      <x:c r="D397" s="53"/>
      <x:c r="E397" s="58"/>
      <x:c r="F397" s="58"/>
      <x:c r="G397" s="59"/>
      <x:c r="H397" s="59" t="n">
        <x:f>SUMIF(Purchases!$D:$D,B397,Purchases!$F:$F)</x:f>
        <x:v>0</x:v>
      </x:c>
      <x:c r="I397" s="59" t="n">
        <x:f>SUMIF(Sales!$D:$D,B397,Sales!$G:$G)</x:f>
        <x:v>0</x:v>
      </x:c>
      <x:c r="J397" s="59" t="n">
        <x:f>G397+H397-I397</x:f>
        <x:v>0</x:v>
      </x:c>
      <x:c r="K397" s="58" t="n">
        <x:f>J397*E397</x:f>
        <x:v>0</x:v>
      </x:c>
      <x:c r="L397" s="59"/>
      <x:c r="M397" s="53"/>
      <x:c r="N397" s="60" t="n">
        <x:f>IFERROR(MAXIFS(Purchases!$B:$B,Purchases!$D:$D,B397),"")</x:f>
        <x:v>0</x:v>
      </x:c>
      <x:c r="O397" s="50"/>
    </x:row>
    <x:row r="398">
      <x:c r="A398" s="53"/>
      <x:c r="B398" s="53"/>
      <x:c r="C398" s="53"/>
      <x:c r="D398" s="53"/>
      <x:c r="E398" s="58"/>
      <x:c r="F398" s="58"/>
      <x:c r="G398" s="59"/>
      <x:c r="H398" s="59" t="n">
        <x:f>SUMIF(Purchases!$D:$D,B398,Purchases!$F:$F)</x:f>
        <x:v>0</x:v>
      </x:c>
      <x:c r="I398" s="59" t="n">
        <x:f>SUMIF(Sales!$D:$D,B398,Sales!$G:$G)</x:f>
        <x:v>0</x:v>
      </x:c>
      <x:c r="J398" s="59" t="n">
        <x:f>G398+H398-I398</x:f>
        <x:v>0</x:v>
      </x:c>
      <x:c r="K398" s="58" t="n">
        <x:f>J398*E398</x:f>
        <x:v>0</x:v>
      </x:c>
      <x:c r="L398" s="59"/>
      <x:c r="M398" s="53"/>
      <x:c r="N398" s="60" t="n">
        <x:f>IFERROR(MAXIFS(Purchases!$B:$B,Purchases!$D:$D,B398),"")</x:f>
        <x:v>0</x:v>
      </x:c>
      <x:c r="O398" s="50"/>
    </x:row>
    <x:row r="399">
      <x:c r="A399" s="53"/>
      <x:c r="B399" s="53"/>
      <x:c r="C399" s="53"/>
      <x:c r="D399" s="53"/>
      <x:c r="E399" s="58"/>
      <x:c r="F399" s="58"/>
      <x:c r="G399" s="59"/>
      <x:c r="H399" s="59" t="n">
        <x:f>SUMIF(Purchases!$D:$D,B399,Purchases!$F:$F)</x:f>
        <x:v>0</x:v>
      </x:c>
      <x:c r="I399" s="59" t="n">
        <x:f>SUMIF(Sales!$D:$D,B399,Sales!$G:$G)</x:f>
        <x:v>0</x:v>
      </x:c>
      <x:c r="J399" s="59" t="n">
        <x:f>G399+H399-I399</x:f>
        <x:v>0</x:v>
      </x:c>
      <x:c r="K399" s="58" t="n">
        <x:f>J399*E399</x:f>
        <x:v>0</x:v>
      </x:c>
      <x:c r="L399" s="59"/>
      <x:c r="M399" s="53"/>
      <x:c r="N399" s="60" t="n">
        <x:f>IFERROR(MAXIFS(Purchases!$B:$B,Purchases!$D:$D,B399),"")</x:f>
        <x:v>0</x:v>
      </x:c>
      <x:c r="O399" s="50"/>
    </x:row>
    <x:row r="400">
      <x:c r="A400" s="53"/>
      <x:c r="B400" s="53"/>
      <x:c r="C400" s="53"/>
      <x:c r="D400" s="53"/>
      <x:c r="E400" s="58"/>
      <x:c r="F400" s="58"/>
      <x:c r="G400" s="59"/>
      <x:c r="H400" s="59" t="n">
        <x:f>SUMIF(Purchases!$D:$D,B400,Purchases!$F:$F)</x:f>
        <x:v>0</x:v>
      </x:c>
      <x:c r="I400" s="59" t="n">
        <x:f>SUMIF(Sales!$D:$D,B400,Sales!$G:$G)</x:f>
        <x:v>0</x:v>
      </x:c>
      <x:c r="J400" s="59" t="n">
        <x:f>G400+H400-I400</x:f>
        <x:v>0</x:v>
      </x:c>
      <x:c r="K400" s="58" t="n">
        <x:f>J400*E400</x:f>
        <x:v>0</x:v>
      </x:c>
      <x:c r="L400" s="59"/>
      <x:c r="M400" s="53"/>
      <x:c r="N400" s="60" t="n">
        <x:f>IFERROR(MAXIFS(Purchases!$B:$B,Purchases!$D:$D,B400),"")</x:f>
        <x:v>0</x:v>
      </x:c>
      <x:c r="O400" s="50"/>
    </x:row>
    <x:row r="401">
      <x:c r="A401" s="53"/>
      <x:c r="B401" s="53"/>
      <x:c r="C401" s="53"/>
      <x:c r="D401" s="53"/>
      <x:c r="E401" s="58"/>
      <x:c r="F401" s="58"/>
      <x:c r="G401" s="59"/>
      <x:c r="H401" s="59" t="n">
        <x:f>SUMIF(Purchases!$D:$D,B401,Purchases!$F:$F)</x:f>
        <x:v>0</x:v>
      </x:c>
      <x:c r="I401" s="59" t="n">
        <x:f>SUMIF(Sales!$D:$D,B401,Sales!$G:$G)</x:f>
        <x:v>0</x:v>
      </x:c>
      <x:c r="J401" s="59" t="n">
        <x:f>G401+H401-I401</x:f>
        <x:v>0</x:v>
      </x:c>
      <x:c r="K401" s="58" t="n">
        <x:f>J401*E401</x:f>
        <x:v>0</x:v>
      </x:c>
      <x:c r="L401" s="59"/>
      <x:c r="M401" s="53"/>
      <x:c r="N401" s="60" t="n">
        <x:f>IFERROR(MAXIFS(Purchases!$B:$B,Purchases!$D:$D,B401),"")</x:f>
        <x:v>0</x:v>
      </x:c>
      <x:c r="O401" s="50"/>
    </x:row>
    <x:row r="402">
      <x:c r="A402" s="53"/>
      <x:c r="B402" s="53"/>
      <x:c r="C402" s="53"/>
      <x:c r="D402" s="53"/>
      <x:c r="E402" s="58"/>
      <x:c r="F402" s="58"/>
      <x:c r="G402" s="59"/>
      <x:c r="H402" s="59" t="n">
        <x:f>SUMIF(Purchases!$D:$D,B402,Purchases!$F:$F)</x:f>
        <x:v>0</x:v>
      </x:c>
      <x:c r="I402" s="59" t="n">
        <x:f>SUMIF(Sales!$D:$D,B402,Sales!$G:$G)</x:f>
        <x:v>0</x:v>
      </x:c>
      <x:c r="J402" s="59" t="n">
        <x:f>G402+H402-I402</x:f>
        <x:v>0</x:v>
      </x:c>
      <x:c r="K402" s="58" t="n">
        <x:f>J402*E402</x:f>
        <x:v>0</x:v>
      </x:c>
      <x:c r="L402" s="59"/>
      <x:c r="M402" s="53"/>
      <x:c r="N402" s="60" t="n">
        <x:f>IFERROR(MAXIFS(Purchases!$B:$B,Purchases!$D:$D,B402),"")</x:f>
        <x:v>0</x:v>
      </x:c>
      <x:c r="O402" s="50"/>
    </x:row>
    <x:row r="403">
      <x:c r="A403" s="53"/>
      <x:c r="B403" s="53"/>
      <x:c r="C403" s="53"/>
      <x:c r="D403" s="53"/>
      <x:c r="E403" s="58"/>
      <x:c r="F403" s="58"/>
      <x:c r="G403" s="59"/>
      <x:c r="H403" s="59" t="n">
        <x:f>SUMIF(Purchases!$D:$D,B403,Purchases!$F:$F)</x:f>
        <x:v>0</x:v>
      </x:c>
      <x:c r="I403" s="59" t="n">
        <x:f>SUMIF(Sales!$D:$D,B403,Sales!$G:$G)</x:f>
        <x:v>0</x:v>
      </x:c>
      <x:c r="J403" s="59" t="n">
        <x:f>G403+H403-I403</x:f>
        <x:v>0</x:v>
      </x:c>
      <x:c r="K403" s="58" t="n">
        <x:f>J403*E403</x:f>
        <x:v>0</x:v>
      </x:c>
      <x:c r="L403" s="59"/>
      <x:c r="M403" s="53"/>
      <x:c r="N403" s="60" t="n">
        <x:f>IFERROR(MAXIFS(Purchases!$B:$B,Purchases!$D:$D,B403),"")</x:f>
        <x:v>0</x:v>
      </x:c>
      <x:c r="O403" s="50"/>
    </x:row>
    <x:row r="404">
      <x:c r="A404" s="53"/>
      <x:c r="B404" s="53"/>
      <x:c r="C404" s="53"/>
      <x:c r="D404" s="53"/>
      <x:c r="E404" s="58"/>
      <x:c r="F404" s="58"/>
      <x:c r="G404" s="59"/>
      <x:c r="H404" s="59" t="n">
        <x:f>SUMIF(Purchases!$D:$D,B404,Purchases!$F:$F)</x:f>
        <x:v>0</x:v>
      </x:c>
      <x:c r="I404" s="59" t="n">
        <x:f>SUMIF(Sales!$D:$D,B404,Sales!$G:$G)</x:f>
        <x:v>0</x:v>
      </x:c>
      <x:c r="J404" s="59" t="n">
        <x:f>G404+H404-I404</x:f>
        <x:v>0</x:v>
      </x:c>
      <x:c r="K404" s="58" t="n">
        <x:f>J404*E404</x:f>
        <x:v>0</x:v>
      </x:c>
      <x:c r="L404" s="59"/>
      <x:c r="M404" s="53"/>
      <x:c r="N404" s="60" t="n">
        <x:f>IFERROR(MAXIFS(Purchases!$B:$B,Purchases!$D:$D,B404),"")</x:f>
        <x:v>0</x:v>
      </x:c>
      <x:c r="O404" s="50"/>
    </x:row>
    <x:row r="405">
      <x:c r="A405" s="53"/>
      <x:c r="B405" s="53"/>
      <x:c r="C405" s="53"/>
      <x:c r="D405" s="53"/>
      <x:c r="E405" s="58"/>
      <x:c r="F405" s="58"/>
      <x:c r="G405" s="59"/>
      <x:c r="H405" s="59" t="n">
        <x:f>SUMIF(Purchases!$D:$D,B405,Purchases!$F:$F)</x:f>
        <x:v>0</x:v>
      </x:c>
      <x:c r="I405" s="59" t="n">
        <x:f>SUMIF(Sales!$D:$D,B405,Sales!$G:$G)</x:f>
        <x:v>0</x:v>
      </x:c>
      <x:c r="J405" s="59" t="n">
        <x:f>G405+H405-I405</x:f>
        <x:v>0</x:v>
      </x:c>
      <x:c r="K405" s="58" t="n">
        <x:f>J405*E405</x:f>
        <x:v>0</x:v>
      </x:c>
      <x:c r="L405" s="59"/>
      <x:c r="M405" s="53"/>
      <x:c r="N405" s="60" t="n">
        <x:f>IFERROR(MAXIFS(Purchases!$B:$B,Purchases!$D:$D,B405),"")</x:f>
        <x:v>0</x:v>
      </x:c>
      <x:c r="O405" s="50"/>
    </x:row>
    <x:row r="406">
      <x:c r="A406" s="53"/>
      <x:c r="B406" s="53"/>
      <x:c r="C406" s="53"/>
      <x:c r="D406" s="53"/>
      <x:c r="E406" s="58"/>
      <x:c r="F406" s="58"/>
      <x:c r="G406" s="59"/>
      <x:c r="H406" s="59" t="n">
        <x:f>SUMIF(Purchases!$D:$D,B406,Purchases!$F:$F)</x:f>
        <x:v>0</x:v>
      </x:c>
      <x:c r="I406" s="59" t="n">
        <x:f>SUMIF(Sales!$D:$D,B406,Sales!$G:$G)</x:f>
        <x:v>0</x:v>
      </x:c>
      <x:c r="J406" s="59" t="n">
        <x:f>G406+H406-I406</x:f>
        <x:v>0</x:v>
      </x:c>
      <x:c r="K406" s="58" t="n">
        <x:f>J406*E406</x:f>
        <x:v>0</x:v>
      </x:c>
      <x:c r="L406" s="59"/>
      <x:c r="M406" s="53"/>
      <x:c r="N406" s="60" t="n">
        <x:f>IFERROR(MAXIFS(Purchases!$B:$B,Purchases!$D:$D,B406),"")</x:f>
        <x:v>0</x:v>
      </x:c>
      <x:c r="O406" s="50"/>
    </x:row>
    <x:row r="407">
      <x:c r="A407" s="53"/>
      <x:c r="B407" s="53"/>
      <x:c r="C407" s="53"/>
      <x:c r="D407" s="53"/>
      <x:c r="E407" s="58"/>
      <x:c r="F407" s="58"/>
      <x:c r="G407" s="59"/>
      <x:c r="H407" s="59" t="n">
        <x:f>SUMIF(Purchases!$D:$D,B407,Purchases!$F:$F)</x:f>
        <x:v>0</x:v>
      </x:c>
      <x:c r="I407" s="59" t="n">
        <x:f>SUMIF(Sales!$D:$D,B407,Sales!$G:$G)</x:f>
        <x:v>0</x:v>
      </x:c>
      <x:c r="J407" s="59" t="n">
        <x:f>G407+H407-I407</x:f>
        <x:v>0</x:v>
      </x:c>
      <x:c r="K407" s="58" t="n">
        <x:f>J407*E407</x:f>
        <x:v>0</x:v>
      </x:c>
      <x:c r="L407" s="59"/>
      <x:c r="M407" s="53"/>
      <x:c r="N407" s="60" t="n">
        <x:f>IFERROR(MAXIFS(Purchases!$B:$B,Purchases!$D:$D,B407),"")</x:f>
        <x:v>0</x:v>
      </x:c>
      <x:c r="O407" s="50"/>
    </x:row>
    <x:row r="408">
      <x:c r="A408" s="53"/>
      <x:c r="B408" s="53"/>
      <x:c r="C408" s="53"/>
      <x:c r="D408" s="53"/>
      <x:c r="E408" s="58"/>
      <x:c r="F408" s="58"/>
      <x:c r="G408" s="59"/>
      <x:c r="H408" s="59" t="n">
        <x:f>SUMIF(Purchases!$D:$D,B408,Purchases!$F:$F)</x:f>
        <x:v>0</x:v>
      </x:c>
      <x:c r="I408" s="59" t="n">
        <x:f>SUMIF(Sales!$D:$D,B408,Sales!$G:$G)</x:f>
        <x:v>0</x:v>
      </x:c>
      <x:c r="J408" s="59" t="n">
        <x:f>G408+H408-I408</x:f>
        <x:v>0</x:v>
      </x:c>
      <x:c r="K408" s="58" t="n">
        <x:f>J408*E408</x:f>
        <x:v>0</x:v>
      </x:c>
      <x:c r="L408" s="59"/>
      <x:c r="M408" s="53"/>
      <x:c r="N408" s="60" t="n">
        <x:f>IFERROR(MAXIFS(Purchases!$B:$B,Purchases!$D:$D,B408),"")</x:f>
        <x:v>0</x:v>
      </x:c>
      <x:c r="O408" s="50"/>
    </x:row>
    <x:row r="409">
      <x:c r="A409" s="53"/>
      <x:c r="B409" s="53"/>
      <x:c r="C409" s="53"/>
      <x:c r="D409" s="53"/>
      <x:c r="E409" s="58"/>
      <x:c r="F409" s="58"/>
      <x:c r="G409" s="59"/>
      <x:c r="H409" s="59" t="n">
        <x:f>SUMIF(Purchases!$D:$D,B409,Purchases!$F:$F)</x:f>
        <x:v>0</x:v>
      </x:c>
      <x:c r="I409" s="59" t="n">
        <x:f>SUMIF(Sales!$D:$D,B409,Sales!$G:$G)</x:f>
        <x:v>0</x:v>
      </x:c>
      <x:c r="J409" s="59" t="n">
        <x:f>G409+H409-I409</x:f>
        <x:v>0</x:v>
      </x:c>
      <x:c r="K409" s="58" t="n">
        <x:f>J409*E409</x:f>
        <x:v>0</x:v>
      </x:c>
      <x:c r="L409" s="59"/>
      <x:c r="M409" s="53"/>
      <x:c r="N409" s="60" t="n">
        <x:f>IFERROR(MAXIFS(Purchases!$B:$B,Purchases!$D:$D,B409),"")</x:f>
        <x:v>0</x:v>
      </x:c>
      <x:c r="O409" s="50"/>
    </x:row>
    <x:row r="410">
      <x:c r="A410" s="53"/>
      <x:c r="B410" s="53"/>
      <x:c r="C410" s="53"/>
      <x:c r="D410" s="53"/>
      <x:c r="E410" s="58"/>
      <x:c r="F410" s="58"/>
      <x:c r="G410" s="59"/>
      <x:c r="H410" s="59" t="n">
        <x:f>SUMIF(Purchases!$D:$D,B410,Purchases!$F:$F)</x:f>
        <x:v>0</x:v>
      </x:c>
      <x:c r="I410" s="59" t="n">
        <x:f>SUMIF(Sales!$D:$D,B410,Sales!$G:$G)</x:f>
        <x:v>0</x:v>
      </x:c>
      <x:c r="J410" s="59" t="n">
        <x:f>G410+H410-I410</x:f>
        <x:v>0</x:v>
      </x:c>
      <x:c r="K410" s="58" t="n">
        <x:f>J410*E410</x:f>
        <x:v>0</x:v>
      </x:c>
      <x:c r="L410" s="59"/>
      <x:c r="M410" s="53"/>
      <x:c r="N410" s="60" t="n">
        <x:f>IFERROR(MAXIFS(Purchases!$B:$B,Purchases!$D:$D,B410),"")</x:f>
        <x:v>0</x:v>
      </x:c>
      <x:c r="O410" s="50"/>
    </x:row>
    <x:row r="411">
      <x:c r="A411" s="53"/>
      <x:c r="B411" s="53"/>
      <x:c r="C411" s="53"/>
      <x:c r="D411" s="53"/>
      <x:c r="E411" s="58"/>
      <x:c r="F411" s="58"/>
      <x:c r="G411" s="59"/>
      <x:c r="H411" s="59" t="n">
        <x:f>SUMIF(Purchases!$D:$D,B411,Purchases!$F:$F)</x:f>
        <x:v>0</x:v>
      </x:c>
      <x:c r="I411" s="59" t="n">
        <x:f>SUMIF(Sales!$D:$D,B411,Sales!$G:$G)</x:f>
        <x:v>0</x:v>
      </x:c>
      <x:c r="J411" s="59" t="n">
        <x:f>G411+H411-I411</x:f>
        <x:v>0</x:v>
      </x:c>
      <x:c r="K411" s="58" t="n">
        <x:f>J411*E411</x:f>
        <x:v>0</x:v>
      </x:c>
      <x:c r="L411" s="59"/>
      <x:c r="M411" s="53"/>
      <x:c r="N411" s="60" t="n">
        <x:f>IFERROR(MAXIFS(Purchases!$B:$B,Purchases!$D:$D,B411),"")</x:f>
        <x:v>0</x:v>
      </x:c>
      <x:c r="O411" s="50"/>
    </x:row>
    <x:row r="412">
      <x:c r="A412" s="53"/>
      <x:c r="B412" s="53"/>
      <x:c r="C412" s="53"/>
      <x:c r="D412" s="53"/>
      <x:c r="E412" s="58"/>
      <x:c r="F412" s="58"/>
      <x:c r="G412" s="59"/>
      <x:c r="H412" s="59" t="n">
        <x:f>SUMIF(Purchases!$D:$D,B412,Purchases!$F:$F)</x:f>
        <x:v>0</x:v>
      </x:c>
      <x:c r="I412" s="59" t="n">
        <x:f>SUMIF(Sales!$D:$D,B412,Sales!$G:$G)</x:f>
        <x:v>0</x:v>
      </x:c>
      <x:c r="J412" s="59" t="n">
        <x:f>G412+H412-I412</x:f>
        <x:v>0</x:v>
      </x:c>
      <x:c r="K412" s="58" t="n">
        <x:f>J412*E412</x:f>
        <x:v>0</x:v>
      </x:c>
      <x:c r="L412" s="59"/>
      <x:c r="M412" s="53"/>
      <x:c r="N412" s="60" t="n">
        <x:f>IFERROR(MAXIFS(Purchases!$B:$B,Purchases!$D:$D,B412),"")</x:f>
        <x:v>0</x:v>
      </x:c>
      <x:c r="O412" s="50"/>
    </x:row>
    <x:row r="413">
      <x:c r="A413" s="53"/>
      <x:c r="B413" s="53"/>
      <x:c r="C413" s="53"/>
      <x:c r="D413" s="53"/>
      <x:c r="E413" s="58"/>
      <x:c r="F413" s="58"/>
      <x:c r="G413" s="59"/>
      <x:c r="H413" s="59" t="n">
        <x:f>SUMIF(Purchases!$D:$D,B413,Purchases!$F:$F)</x:f>
        <x:v>0</x:v>
      </x:c>
      <x:c r="I413" s="59" t="n">
        <x:f>SUMIF(Sales!$D:$D,B413,Sales!$G:$G)</x:f>
        <x:v>0</x:v>
      </x:c>
      <x:c r="J413" s="59" t="n">
        <x:f>G413+H413-I413</x:f>
        <x:v>0</x:v>
      </x:c>
      <x:c r="K413" s="58" t="n">
        <x:f>J413*E413</x:f>
        <x:v>0</x:v>
      </x:c>
      <x:c r="L413" s="59"/>
      <x:c r="M413" s="53"/>
      <x:c r="N413" s="60" t="n">
        <x:f>IFERROR(MAXIFS(Purchases!$B:$B,Purchases!$D:$D,B413),"")</x:f>
        <x:v>0</x:v>
      </x:c>
      <x:c r="O413" s="50"/>
    </x:row>
    <x:row r="414">
      <x:c r="A414" s="53"/>
      <x:c r="B414" s="53"/>
      <x:c r="C414" s="53"/>
      <x:c r="D414" s="53"/>
      <x:c r="E414" s="58"/>
      <x:c r="F414" s="58"/>
      <x:c r="G414" s="59"/>
      <x:c r="H414" s="59" t="n">
        <x:f>SUMIF(Purchases!$D:$D,B414,Purchases!$F:$F)</x:f>
        <x:v>0</x:v>
      </x:c>
      <x:c r="I414" s="59" t="n">
        <x:f>SUMIF(Sales!$D:$D,B414,Sales!$G:$G)</x:f>
        <x:v>0</x:v>
      </x:c>
      <x:c r="J414" s="59" t="n">
        <x:f>G414+H414-I414</x:f>
        <x:v>0</x:v>
      </x:c>
      <x:c r="K414" s="58" t="n">
        <x:f>J414*E414</x:f>
        <x:v>0</x:v>
      </x:c>
      <x:c r="L414" s="59"/>
      <x:c r="M414" s="53"/>
      <x:c r="N414" s="60" t="n">
        <x:f>IFERROR(MAXIFS(Purchases!$B:$B,Purchases!$D:$D,B414),"")</x:f>
        <x:v>0</x:v>
      </x:c>
      <x:c r="O414" s="50"/>
    </x:row>
    <x:row r="415">
      <x:c r="A415" s="53"/>
      <x:c r="B415" s="53"/>
      <x:c r="C415" s="53"/>
      <x:c r="D415" s="53"/>
      <x:c r="E415" s="58"/>
      <x:c r="F415" s="58"/>
      <x:c r="G415" s="59"/>
      <x:c r="H415" s="59" t="n">
        <x:f>SUMIF(Purchases!$D:$D,B415,Purchases!$F:$F)</x:f>
        <x:v>0</x:v>
      </x:c>
      <x:c r="I415" s="59" t="n">
        <x:f>SUMIF(Sales!$D:$D,B415,Sales!$G:$G)</x:f>
        <x:v>0</x:v>
      </x:c>
      <x:c r="J415" s="59" t="n">
        <x:f>G415+H415-I415</x:f>
        <x:v>0</x:v>
      </x:c>
      <x:c r="K415" s="58" t="n">
        <x:f>J415*E415</x:f>
        <x:v>0</x:v>
      </x:c>
      <x:c r="L415" s="59"/>
      <x:c r="M415" s="53"/>
      <x:c r="N415" s="60" t="n">
        <x:f>IFERROR(MAXIFS(Purchases!$B:$B,Purchases!$D:$D,B415),"")</x:f>
        <x:v>0</x:v>
      </x:c>
      <x:c r="O415" s="50"/>
    </x:row>
    <x:row r="416">
      <x:c r="A416" s="53"/>
      <x:c r="B416" s="53"/>
      <x:c r="C416" s="53"/>
      <x:c r="D416" s="53"/>
      <x:c r="E416" s="58"/>
      <x:c r="F416" s="58"/>
      <x:c r="G416" s="59"/>
      <x:c r="H416" s="59" t="n">
        <x:f>SUMIF(Purchases!$D:$D,B416,Purchases!$F:$F)</x:f>
        <x:v>0</x:v>
      </x:c>
      <x:c r="I416" s="59" t="n">
        <x:f>SUMIF(Sales!$D:$D,B416,Sales!$G:$G)</x:f>
        <x:v>0</x:v>
      </x:c>
      <x:c r="J416" s="59" t="n">
        <x:f>G416+H416-I416</x:f>
        <x:v>0</x:v>
      </x:c>
      <x:c r="K416" s="58" t="n">
        <x:f>J416*E416</x:f>
        <x:v>0</x:v>
      </x:c>
      <x:c r="L416" s="59"/>
      <x:c r="M416" s="53"/>
      <x:c r="N416" s="60" t="n">
        <x:f>IFERROR(MAXIFS(Purchases!$B:$B,Purchases!$D:$D,B416),"")</x:f>
        <x:v>0</x:v>
      </x:c>
      <x:c r="O416" s="50"/>
    </x:row>
    <x:row r="417">
      <x:c r="A417" s="53"/>
      <x:c r="B417" s="53"/>
      <x:c r="C417" s="53"/>
      <x:c r="D417" s="53"/>
      <x:c r="E417" s="58"/>
      <x:c r="F417" s="58"/>
      <x:c r="G417" s="59"/>
      <x:c r="H417" s="59" t="n">
        <x:f>SUMIF(Purchases!$D:$D,B417,Purchases!$F:$F)</x:f>
        <x:v>0</x:v>
      </x:c>
      <x:c r="I417" s="59" t="n">
        <x:f>SUMIF(Sales!$D:$D,B417,Sales!$G:$G)</x:f>
        <x:v>0</x:v>
      </x:c>
      <x:c r="J417" s="59" t="n">
        <x:f>G417+H417-I417</x:f>
        <x:v>0</x:v>
      </x:c>
      <x:c r="K417" s="58" t="n">
        <x:f>J417*E417</x:f>
        <x:v>0</x:v>
      </x:c>
      <x:c r="L417" s="59"/>
      <x:c r="M417" s="53"/>
      <x:c r="N417" s="60" t="n">
        <x:f>IFERROR(MAXIFS(Purchases!$B:$B,Purchases!$D:$D,B417),"")</x:f>
        <x:v>0</x:v>
      </x:c>
      <x:c r="O417" s="50"/>
    </x:row>
    <x:row r="418">
      <x:c r="A418" s="53"/>
      <x:c r="B418" s="53"/>
      <x:c r="C418" s="53"/>
      <x:c r="D418" s="53"/>
      <x:c r="E418" s="58"/>
      <x:c r="F418" s="58"/>
      <x:c r="G418" s="59"/>
      <x:c r="H418" s="59" t="n">
        <x:f>SUMIF(Purchases!$D:$D,B418,Purchases!$F:$F)</x:f>
        <x:v>0</x:v>
      </x:c>
      <x:c r="I418" s="59" t="n">
        <x:f>SUMIF(Sales!$D:$D,B418,Sales!$G:$G)</x:f>
        <x:v>0</x:v>
      </x:c>
      <x:c r="J418" s="59" t="n">
        <x:f>G418+H418-I418</x:f>
        <x:v>0</x:v>
      </x:c>
      <x:c r="K418" s="58" t="n">
        <x:f>J418*E418</x:f>
        <x:v>0</x:v>
      </x:c>
      <x:c r="L418" s="59"/>
      <x:c r="M418" s="53"/>
      <x:c r="N418" s="60" t="n">
        <x:f>IFERROR(MAXIFS(Purchases!$B:$B,Purchases!$D:$D,B418),"")</x:f>
        <x:v>0</x:v>
      </x:c>
      <x:c r="O418" s="50"/>
    </x:row>
    <x:row r="419">
      <x:c r="A419" s="53"/>
      <x:c r="B419" s="53"/>
      <x:c r="C419" s="53"/>
      <x:c r="D419" s="53"/>
      <x:c r="E419" s="58"/>
      <x:c r="F419" s="58"/>
      <x:c r="G419" s="59"/>
      <x:c r="H419" s="59" t="n">
        <x:f>SUMIF(Purchases!$D:$D,B419,Purchases!$F:$F)</x:f>
        <x:v>0</x:v>
      </x:c>
      <x:c r="I419" s="59" t="n">
        <x:f>SUMIF(Sales!$D:$D,B419,Sales!$G:$G)</x:f>
        <x:v>0</x:v>
      </x:c>
      <x:c r="J419" s="59" t="n">
        <x:f>G419+H419-I419</x:f>
        <x:v>0</x:v>
      </x:c>
      <x:c r="K419" s="58" t="n">
        <x:f>J419*E419</x:f>
        <x:v>0</x:v>
      </x:c>
      <x:c r="L419" s="59"/>
      <x:c r="M419" s="53"/>
      <x:c r="N419" s="60" t="n">
        <x:f>IFERROR(MAXIFS(Purchases!$B:$B,Purchases!$D:$D,B419),"")</x:f>
        <x:v>0</x:v>
      </x:c>
      <x:c r="O419" s="50"/>
    </x:row>
    <x:row r="420">
      <x:c r="A420" s="53"/>
      <x:c r="B420" s="53"/>
      <x:c r="C420" s="53"/>
      <x:c r="D420" s="53"/>
      <x:c r="E420" s="58"/>
      <x:c r="F420" s="58"/>
      <x:c r="G420" s="59"/>
      <x:c r="H420" s="59" t="n">
        <x:f>SUMIF(Purchases!$D:$D,B420,Purchases!$F:$F)</x:f>
        <x:v>0</x:v>
      </x:c>
      <x:c r="I420" s="59" t="n">
        <x:f>SUMIF(Sales!$D:$D,B420,Sales!$G:$G)</x:f>
        <x:v>0</x:v>
      </x:c>
      <x:c r="J420" s="59" t="n">
        <x:f>G420+H420-I420</x:f>
        <x:v>0</x:v>
      </x:c>
      <x:c r="K420" s="58" t="n">
        <x:f>J420*E420</x:f>
        <x:v>0</x:v>
      </x:c>
      <x:c r="L420" s="59"/>
      <x:c r="M420" s="53"/>
      <x:c r="N420" s="60" t="n">
        <x:f>IFERROR(MAXIFS(Purchases!$B:$B,Purchases!$D:$D,B420),"")</x:f>
        <x:v>0</x:v>
      </x:c>
      <x:c r="O420" s="50"/>
    </x:row>
    <x:row r="421">
      <x:c r="A421" s="53"/>
      <x:c r="B421" s="53"/>
      <x:c r="C421" s="53"/>
      <x:c r="D421" s="53"/>
      <x:c r="E421" s="58"/>
      <x:c r="F421" s="58"/>
      <x:c r="G421" s="59"/>
      <x:c r="H421" s="59" t="n">
        <x:f>SUMIF(Purchases!$D:$D,B421,Purchases!$F:$F)</x:f>
        <x:v>0</x:v>
      </x:c>
      <x:c r="I421" s="59" t="n">
        <x:f>SUMIF(Sales!$D:$D,B421,Sales!$G:$G)</x:f>
        <x:v>0</x:v>
      </x:c>
      <x:c r="J421" s="59" t="n">
        <x:f>G421+H421-I421</x:f>
        <x:v>0</x:v>
      </x:c>
      <x:c r="K421" s="58" t="n">
        <x:f>J421*E421</x:f>
        <x:v>0</x:v>
      </x:c>
      <x:c r="L421" s="59"/>
      <x:c r="M421" s="53"/>
      <x:c r="N421" s="60" t="n">
        <x:f>IFERROR(MAXIFS(Purchases!$B:$B,Purchases!$D:$D,B421),"")</x:f>
        <x:v>0</x:v>
      </x:c>
      <x:c r="O421" s="50"/>
    </x:row>
    <x:row r="422">
      <x:c r="A422" s="53"/>
      <x:c r="B422" s="53"/>
      <x:c r="C422" s="53"/>
      <x:c r="D422" s="53"/>
      <x:c r="E422" s="58"/>
      <x:c r="F422" s="58"/>
      <x:c r="G422" s="59"/>
      <x:c r="H422" s="59" t="n">
        <x:f>SUMIF(Purchases!$D:$D,B422,Purchases!$F:$F)</x:f>
        <x:v>0</x:v>
      </x:c>
      <x:c r="I422" s="59" t="n">
        <x:f>SUMIF(Sales!$D:$D,B422,Sales!$G:$G)</x:f>
        <x:v>0</x:v>
      </x:c>
      <x:c r="J422" s="59" t="n">
        <x:f>G422+H422-I422</x:f>
        <x:v>0</x:v>
      </x:c>
      <x:c r="K422" s="58" t="n">
        <x:f>J422*E422</x:f>
        <x:v>0</x:v>
      </x:c>
      <x:c r="L422" s="59"/>
      <x:c r="M422" s="53"/>
      <x:c r="N422" s="60" t="n">
        <x:f>IFERROR(MAXIFS(Purchases!$B:$B,Purchases!$D:$D,B422),"")</x:f>
        <x:v>0</x:v>
      </x:c>
      <x:c r="O422" s="50"/>
    </x:row>
    <x:row r="423">
      <x:c r="A423" s="53"/>
      <x:c r="B423" s="53"/>
      <x:c r="C423" s="53"/>
      <x:c r="D423" s="53"/>
      <x:c r="E423" s="58"/>
      <x:c r="F423" s="58"/>
      <x:c r="G423" s="59"/>
      <x:c r="H423" s="59" t="n">
        <x:f>SUMIF(Purchases!$D:$D,B423,Purchases!$F:$F)</x:f>
        <x:v>0</x:v>
      </x:c>
      <x:c r="I423" s="59" t="n">
        <x:f>SUMIF(Sales!$D:$D,B423,Sales!$G:$G)</x:f>
        <x:v>0</x:v>
      </x:c>
      <x:c r="J423" s="59" t="n">
        <x:f>G423+H423-I423</x:f>
        <x:v>0</x:v>
      </x:c>
      <x:c r="K423" s="58" t="n">
        <x:f>J423*E423</x:f>
        <x:v>0</x:v>
      </x:c>
      <x:c r="L423" s="59"/>
      <x:c r="M423" s="53"/>
      <x:c r="N423" s="60" t="n">
        <x:f>IFERROR(MAXIFS(Purchases!$B:$B,Purchases!$D:$D,B423),"")</x:f>
        <x:v>0</x:v>
      </x:c>
      <x:c r="O423" s="50"/>
    </x:row>
    <x:row r="424">
      <x:c r="A424" s="53"/>
      <x:c r="B424" s="53"/>
      <x:c r="C424" s="53"/>
      <x:c r="D424" s="53"/>
      <x:c r="E424" s="58"/>
      <x:c r="F424" s="58"/>
      <x:c r="G424" s="59"/>
      <x:c r="H424" s="59" t="n">
        <x:f>SUMIF(Purchases!$D:$D,B424,Purchases!$F:$F)</x:f>
        <x:v>0</x:v>
      </x:c>
      <x:c r="I424" s="59" t="n">
        <x:f>SUMIF(Sales!$D:$D,B424,Sales!$G:$G)</x:f>
        <x:v>0</x:v>
      </x:c>
      <x:c r="J424" s="59" t="n">
        <x:f>G424+H424-I424</x:f>
        <x:v>0</x:v>
      </x:c>
      <x:c r="K424" s="58" t="n">
        <x:f>J424*E424</x:f>
        <x:v>0</x:v>
      </x:c>
      <x:c r="L424" s="59"/>
      <x:c r="M424" s="53"/>
      <x:c r="N424" s="60" t="n">
        <x:f>IFERROR(MAXIFS(Purchases!$B:$B,Purchases!$D:$D,B424),"")</x:f>
        <x:v>0</x:v>
      </x:c>
      <x:c r="O424" s="50"/>
    </x:row>
    <x:row r="425">
      <x:c r="A425" s="53"/>
      <x:c r="B425" s="53"/>
      <x:c r="C425" s="53"/>
      <x:c r="D425" s="53"/>
      <x:c r="E425" s="58"/>
      <x:c r="F425" s="58"/>
      <x:c r="G425" s="59"/>
      <x:c r="H425" s="59" t="n">
        <x:f>SUMIF(Purchases!$D:$D,B425,Purchases!$F:$F)</x:f>
        <x:v>0</x:v>
      </x:c>
      <x:c r="I425" s="59" t="n">
        <x:f>SUMIF(Sales!$D:$D,B425,Sales!$G:$G)</x:f>
        <x:v>0</x:v>
      </x:c>
      <x:c r="J425" s="59" t="n">
        <x:f>G425+H425-I425</x:f>
        <x:v>0</x:v>
      </x:c>
      <x:c r="K425" s="58" t="n">
        <x:f>J425*E425</x:f>
        <x:v>0</x:v>
      </x:c>
      <x:c r="L425" s="59"/>
      <x:c r="M425" s="53"/>
      <x:c r="N425" s="60" t="n">
        <x:f>IFERROR(MAXIFS(Purchases!$B:$B,Purchases!$D:$D,B425),"")</x:f>
        <x:v>0</x:v>
      </x:c>
      <x:c r="O425" s="50"/>
    </x:row>
    <x:row r="426">
      <x:c r="A426" s="53"/>
      <x:c r="B426" s="53"/>
      <x:c r="C426" s="53"/>
      <x:c r="D426" s="53"/>
      <x:c r="E426" s="58"/>
      <x:c r="F426" s="58"/>
      <x:c r="G426" s="59"/>
      <x:c r="H426" s="59" t="n">
        <x:f>SUMIF(Purchases!$D:$D,B426,Purchases!$F:$F)</x:f>
        <x:v>0</x:v>
      </x:c>
      <x:c r="I426" s="59" t="n">
        <x:f>SUMIF(Sales!$D:$D,B426,Sales!$G:$G)</x:f>
        <x:v>0</x:v>
      </x:c>
      <x:c r="J426" s="59" t="n">
        <x:f>G426+H426-I426</x:f>
        <x:v>0</x:v>
      </x:c>
      <x:c r="K426" s="58" t="n">
        <x:f>J426*E426</x:f>
        <x:v>0</x:v>
      </x:c>
      <x:c r="L426" s="59"/>
      <x:c r="M426" s="53"/>
      <x:c r="N426" s="60" t="n">
        <x:f>IFERROR(MAXIFS(Purchases!$B:$B,Purchases!$D:$D,B426),"")</x:f>
        <x:v>0</x:v>
      </x:c>
      <x:c r="O426" s="50"/>
    </x:row>
    <x:row r="427">
      <x:c r="A427" s="53"/>
      <x:c r="B427" s="53"/>
      <x:c r="C427" s="53"/>
      <x:c r="D427" s="53"/>
      <x:c r="E427" s="58"/>
      <x:c r="F427" s="58"/>
      <x:c r="G427" s="59"/>
      <x:c r="H427" s="59" t="n">
        <x:f>SUMIF(Purchases!$D:$D,B427,Purchases!$F:$F)</x:f>
        <x:v>0</x:v>
      </x:c>
      <x:c r="I427" s="59" t="n">
        <x:f>SUMIF(Sales!$D:$D,B427,Sales!$G:$G)</x:f>
        <x:v>0</x:v>
      </x:c>
      <x:c r="J427" s="59" t="n">
        <x:f>G427+H427-I427</x:f>
        <x:v>0</x:v>
      </x:c>
      <x:c r="K427" s="58" t="n">
        <x:f>J427*E427</x:f>
        <x:v>0</x:v>
      </x:c>
      <x:c r="L427" s="59"/>
      <x:c r="M427" s="53"/>
      <x:c r="N427" s="60" t="n">
        <x:f>IFERROR(MAXIFS(Purchases!$B:$B,Purchases!$D:$D,B427),"")</x:f>
        <x:v>0</x:v>
      </x:c>
      <x:c r="O427" s="50"/>
    </x:row>
    <x:row r="428">
      <x:c r="A428" s="53"/>
      <x:c r="B428" s="53"/>
      <x:c r="C428" s="53"/>
      <x:c r="D428" s="53"/>
      <x:c r="E428" s="58"/>
      <x:c r="F428" s="58"/>
      <x:c r="G428" s="59"/>
      <x:c r="H428" s="59" t="n">
        <x:f>SUMIF(Purchases!$D:$D,B428,Purchases!$F:$F)</x:f>
        <x:v>0</x:v>
      </x:c>
      <x:c r="I428" s="59" t="n">
        <x:f>SUMIF(Sales!$D:$D,B428,Sales!$G:$G)</x:f>
        <x:v>0</x:v>
      </x:c>
      <x:c r="J428" s="59" t="n">
        <x:f>G428+H428-I428</x:f>
        <x:v>0</x:v>
      </x:c>
      <x:c r="K428" s="58" t="n">
        <x:f>J428*E428</x:f>
        <x:v>0</x:v>
      </x:c>
      <x:c r="L428" s="59"/>
      <x:c r="M428" s="53"/>
      <x:c r="N428" s="60" t="n">
        <x:f>IFERROR(MAXIFS(Purchases!$B:$B,Purchases!$D:$D,B428),"")</x:f>
        <x:v>0</x:v>
      </x:c>
      <x:c r="O428" s="50"/>
    </x:row>
    <x:row r="429">
      <x:c r="A429" s="53"/>
      <x:c r="B429" s="53"/>
      <x:c r="C429" s="53"/>
      <x:c r="D429" s="53"/>
      <x:c r="E429" s="58"/>
      <x:c r="F429" s="58"/>
      <x:c r="G429" s="59"/>
      <x:c r="H429" s="59" t="n">
        <x:f>SUMIF(Purchases!$D:$D,B429,Purchases!$F:$F)</x:f>
        <x:v>0</x:v>
      </x:c>
      <x:c r="I429" s="59" t="n">
        <x:f>SUMIF(Sales!$D:$D,B429,Sales!$G:$G)</x:f>
        <x:v>0</x:v>
      </x:c>
      <x:c r="J429" s="59" t="n">
        <x:f>G429+H429-I429</x:f>
        <x:v>0</x:v>
      </x:c>
      <x:c r="K429" s="58" t="n">
        <x:f>J429*E429</x:f>
        <x:v>0</x:v>
      </x:c>
      <x:c r="L429" s="59"/>
      <x:c r="M429" s="53"/>
      <x:c r="N429" s="60" t="n">
        <x:f>IFERROR(MAXIFS(Purchases!$B:$B,Purchases!$D:$D,B429),"")</x:f>
        <x:v>0</x:v>
      </x:c>
      <x:c r="O429" s="50"/>
    </x:row>
    <x:row r="430">
      <x:c r="A430" s="53"/>
      <x:c r="B430" s="53"/>
      <x:c r="C430" s="53"/>
      <x:c r="D430" s="53"/>
      <x:c r="E430" s="58"/>
      <x:c r="F430" s="58"/>
      <x:c r="G430" s="59"/>
      <x:c r="H430" s="59" t="n">
        <x:f>SUMIF(Purchases!$D:$D,B430,Purchases!$F:$F)</x:f>
        <x:v>0</x:v>
      </x:c>
      <x:c r="I430" s="59" t="n">
        <x:f>SUMIF(Sales!$D:$D,B430,Sales!$G:$G)</x:f>
        <x:v>0</x:v>
      </x:c>
      <x:c r="J430" s="59" t="n">
        <x:f>G430+H430-I430</x:f>
        <x:v>0</x:v>
      </x:c>
      <x:c r="K430" s="58" t="n">
        <x:f>J430*E430</x:f>
        <x:v>0</x:v>
      </x:c>
      <x:c r="L430" s="59"/>
      <x:c r="M430" s="53"/>
      <x:c r="N430" s="60" t="n">
        <x:f>IFERROR(MAXIFS(Purchases!$B:$B,Purchases!$D:$D,B430),"")</x:f>
        <x:v>0</x:v>
      </x:c>
      <x:c r="O430" s="50"/>
    </x:row>
    <x:row r="431">
      <x:c r="A431" s="53"/>
      <x:c r="B431" s="53"/>
      <x:c r="C431" s="53"/>
      <x:c r="D431" s="53"/>
      <x:c r="E431" s="58"/>
      <x:c r="F431" s="58"/>
      <x:c r="G431" s="59"/>
      <x:c r="H431" s="59" t="n">
        <x:f>SUMIF(Purchases!$D:$D,B431,Purchases!$F:$F)</x:f>
        <x:v>0</x:v>
      </x:c>
      <x:c r="I431" s="59" t="n">
        <x:f>SUMIF(Sales!$D:$D,B431,Sales!$G:$G)</x:f>
        <x:v>0</x:v>
      </x:c>
      <x:c r="J431" s="59" t="n">
        <x:f>G431+H431-I431</x:f>
        <x:v>0</x:v>
      </x:c>
      <x:c r="K431" s="58" t="n">
        <x:f>J431*E431</x:f>
        <x:v>0</x:v>
      </x:c>
      <x:c r="L431" s="59"/>
      <x:c r="M431" s="53"/>
      <x:c r="N431" s="60" t="n">
        <x:f>IFERROR(MAXIFS(Purchases!$B:$B,Purchases!$D:$D,B431),"")</x:f>
        <x:v>0</x:v>
      </x:c>
      <x:c r="O431" s="50"/>
    </x:row>
    <x:row r="432">
      <x:c r="A432" s="53"/>
      <x:c r="B432" s="53"/>
      <x:c r="C432" s="53"/>
      <x:c r="D432" s="53"/>
      <x:c r="E432" s="58"/>
      <x:c r="F432" s="58"/>
      <x:c r="G432" s="59"/>
      <x:c r="H432" s="59" t="n">
        <x:f>SUMIF(Purchases!$D:$D,B432,Purchases!$F:$F)</x:f>
        <x:v>0</x:v>
      </x:c>
      <x:c r="I432" s="59" t="n">
        <x:f>SUMIF(Sales!$D:$D,B432,Sales!$G:$G)</x:f>
        <x:v>0</x:v>
      </x:c>
      <x:c r="J432" s="59" t="n">
        <x:f>G432+H432-I432</x:f>
        <x:v>0</x:v>
      </x:c>
      <x:c r="K432" s="58" t="n">
        <x:f>J432*E432</x:f>
        <x:v>0</x:v>
      </x:c>
      <x:c r="L432" s="59"/>
      <x:c r="M432" s="53"/>
      <x:c r="N432" s="60" t="n">
        <x:f>IFERROR(MAXIFS(Purchases!$B:$B,Purchases!$D:$D,B432),"")</x:f>
        <x:v>0</x:v>
      </x:c>
      <x:c r="O432" s="50"/>
    </x:row>
    <x:row r="433">
      <x:c r="A433" s="53"/>
      <x:c r="B433" s="53"/>
      <x:c r="C433" s="53"/>
      <x:c r="D433" s="53"/>
      <x:c r="E433" s="58"/>
      <x:c r="F433" s="58"/>
      <x:c r="G433" s="59"/>
      <x:c r="H433" s="59" t="n">
        <x:f>SUMIF(Purchases!$D:$D,B433,Purchases!$F:$F)</x:f>
        <x:v>0</x:v>
      </x:c>
      <x:c r="I433" s="59" t="n">
        <x:f>SUMIF(Sales!$D:$D,B433,Sales!$G:$G)</x:f>
        <x:v>0</x:v>
      </x:c>
      <x:c r="J433" s="59" t="n">
        <x:f>G433+H433-I433</x:f>
        <x:v>0</x:v>
      </x:c>
      <x:c r="K433" s="58" t="n">
        <x:f>J433*E433</x:f>
        <x:v>0</x:v>
      </x:c>
      <x:c r="L433" s="59"/>
      <x:c r="M433" s="53"/>
      <x:c r="N433" s="60" t="n">
        <x:f>IFERROR(MAXIFS(Purchases!$B:$B,Purchases!$D:$D,B433),"")</x:f>
        <x:v>0</x:v>
      </x:c>
      <x:c r="O433" s="50"/>
    </x:row>
    <x:row r="434">
      <x:c r="A434" s="53"/>
      <x:c r="B434" s="53"/>
      <x:c r="C434" s="53"/>
      <x:c r="D434" s="53"/>
      <x:c r="E434" s="58"/>
      <x:c r="F434" s="58"/>
      <x:c r="G434" s="59"/>
      <x:c r="H434" s="59" t="n">
        <x:f>SUMIF(Purchases!$D:$D,B434,Purchases!$F:$F)</x:f>
        <x:v>0</x:v>
      </x:c>
      <x:c r="I434" s="59" t="n">
        <x:f>SUMIF(Sales!$D:$D,B434,Sales!$G:$G)</x:f>
        <x:v>0</x:v>
      </x:c>
      <x:c r="J434" s="59" t="n">
        <x:f>G434+H434-I434</x:f>
        <x:v>0</x:v>
      </x:c>
      <x:c r="K434" s="58" t="n">
        <x:f>J434*E434</x:f>
        <x:v>0</x:v>
      </x:c>
      <x:c r="L434" s="59"/>
      <x:c r="M434" s="53"/>
      <x:c r="N434" s="60" t="n">
        <x:f>IFERROR(MAXIFS(Purchases!$B:$B,Purchases!$D:$D,B434),"")</x:f>
        <x:v>0</x:v>
      </x:c>
      <x:c r="O434" s="50"/>
    </x:row>
    <x:row r="435">
      <x:c r="A435" s="53"/>
      <x:c r="B435" s="53"/>
      <x:c r="C435" s="53"/>
      <x:c r="D435" s="53"/>
      <x:c r="E435" s="58"/>
      <x:c r="F435" s="58"/>
      <x:c r="G435" s="59"/>
      <x:c r="H435" s="59" t="n">
        <x:f>SUMIF(Purchases!$D:$D,B435,Purchases!$F:$F)</x:f>
        <x:v>0</x:v>
      </x:c>
      <x:c r="I435" s="59" t="n">
        <x:f>SUMIF(Sales!$D:$D,B435,Sales!$G:$G)</x:f>
        <x:v>0</x:v>
      </x:c>
      <x:c r="J435" s="59" t="n">
        <x:f>G435+H435-I435</x:f>
        <x:v>0</x:v>
      </x:c>
      <x:c r="K435" s="58" t="n">
        <x:f>J435*E435</x:f>
        <x:v>0</x:v>
      </x:c>
      <x:c r="L435" s="59"/>
      <x:c r="M435" s="53"/>
      <x:c r="N435" s="60" t="n">
        <x:f>IFERROR(MAXIFS(Purchases!$B:$B,Purchases!$D:$D,B435),"")</x:f>
        <x:v>0</x:v>
      </x:c>
      <x:c r="O435" s="50"/>
    </x:row>
    <x:row r="436">
      <x:c r="A436" s="53"/>
      <x:c r="B436" s="53"/>
      <x:c r="C436" s="53"/>
      <x:c r="D436" s="53"/>
      <x:c r="E436" s="58"/>
      <x:c r="F436" s="58"/>
      <x:c r="G436" s="59"/>
      <x:c r="H436" s="59" t="n">
        <x:f>SUMIF(Purchases!$D:$D,B436,Purchases!$F:$F)</x:f>
        <x:v>0</x:v>
      </x:c>
      <x:c r="I436" s="59" t="n">
        <x:f>SUMIF(Sales!$D:$D,B436,Sales!$G:$G)</x:f>
        <x:v>0</x:v>
      </x:c>
      <x:c r="J436" s="59" t="n">
        <x:f>G436+H436-I436</x:f>
        <x:v>0</x:v>
      </x:c>
      <x:c r="K436" s="58" t="n">
        <x:f>J436*E436</x:f>
        <x:v>0</x:v>
      </x:c>
      <x:c r="L436" s="59"/>
      <x:c r="M436" s="53"/>
      <x:c r="N436" s="60" t="n">
        <x:f>IFERROR(MAXIFS(Purchases!$B:$B,Purchases!$D:$D,B436),"")</x:f>
        <x:v>0</x:v>
      </x:c>
      <x:c r="O436" s="50"/>
    </x:row>
    <x:row r="437">
      <x:c r="A437" s="53"/>
      <x:c r="B437" s="53"/>
      <x:c r="C437" s="53"/>
      <x:c r="D437" s="53"/>
      <x:c r="E437" s="58"/>
      <x:c r="F437" s="58"/>
      <x:c r="G437" s="59"/>
      <x:c r="H437" s="59" t="n">
        <x:f>SUMIF(Purchases!$D:$D,B437,Purchases!$F:$F)</x:f>
        <x:v>0</x:v>
      </x:c>
      <x:c r="I437" s="59" t="n">
        <x:f>SUMIF(Sales!$D:$D,B437,Sales!$G:$G)</x:f>
        <x:v>0</x:v>
      </x:c>
      <x:c r="J437" s="59" t="n">
        <x:f>G437+H437-I437</x:f>
        <x:v>0</x:v>
      </x:c>
      <x:c r="K437" s="58" t="n">
        <x:f>J437*E437</x:f>
        <x:v>0</x:v>
      </x:c>
      <x:c r="L437" s="59"/>
      <x:c r="M437" s="53"/>
      <x:c r="N437" s="60" t="n">
        <x:f>IFERROR(MAXIFS(Purchases!$B:$B,Purchases!$D:$D,B437),"")</x:f>
        <x:v>0</x:v>
      </x:c>
      <x:c r="O437" s="50"/>
    </x:row>
    <x:row r="438">
      <x:c r="A438" s="53"/>
      <x:c r="B438" s="53"/>
      <x:c r="C438" s="53"/>
      <x:c r="D438" s="53"/>
      <x:c r="E438" s="58"/>
      <x:c r="F438" s="58"/>
      <x:c r="G438" s="59"/>
      <x:c r="H438" s="59" t="n">
        <x:f>SUMIF(Purchases!$D:$D,B438,Purchases!$F:$F)</x:f>
        <x:v>0</x:v>
      </x:c>
      <x:c r="I438" s="59" t="n">
        <x:f>SUMIF(Sales!$D:$D,B438,Sales!$G:$G)</x:f>
        <x:v>0</x:v>
      </x:c>
      <x:c r="J438" s="59" t="n">
        <x:f>G438+H438-I438</x:f>
        <x:v>0</x:v>
      </x:c>
      <x:c r="K438" s="58" t="n">
        <x:f>J438*E438</x:f>
        <x:v>0</x:v>
      </x:c>
      <x:c r="L438" s="59"/>
      <x:c r="M438" s="53"/>
      <x:c r="N438" s="60" t="n">
        <x:f>IFERROR(MAXIFS(Purchases!$B:$B,Purchases!$D:$D,B438),"")</x:f>
        <x:v>0</x:v>
      </x:c>
      <x:c r="O438" s="50"/>
    </x:row>
    <x:row r="439">
      <x:c r="A439" s="53"/>
      <x:c r="B439" s="53"/>
      <x:c r="C439" s="53"/>
      <x:c r="D439" s="53"/>
      <x:c r="E439" s="58"/>
      <x:c r="F439" s="58"/>
      <x:c r="G439" s="59"/>
      <x:c r="H439" s="59" t="n">
        <x:f>SUMIF(Purchases!$D:$D,B439,Purchases!$F:$F)</x:f>
        <x:v>0</x:v>
      </x:c>
      <x:c r="I439" s="59" t="n">
        <x:f>SUMIF(Sales!$D:$D,B439,Sales!$G:$G)</x:f>
        <x:v>0</x:v>
      </x:c>
      <x:c r="J439" s="59" t="n">
        <x:f>G439+H439-I439</x:f>
        <x:v>0</x:v>
      </x:c>
      <x:c r="K439" s="58" t="n">
        <x:f>J439*E439</x:f>
        <x:v>0</x:v>
      </x:c>
      <x:c r="L439" s="59"/>
      <x:c r="M439" s="53"/>
      <x:c r="N439" s="60" t="n">
        <x:f>IFERROR(MAXIFS(Purchases!$B:$B,Purchases!$D:$D,B439),"")</x:f>
        <x:v>0</x:v>
      </x:c>
      <x:c r="O439" s="50"/>
    </x:row>
    <x:row r="440">
      <x:c r="A440" s="53"/>
      <x:c r="B440" s="53"/>
      <x:c r="C440" s="53"/>
      <x:c r="D440" s="53"/>
      <x:c r="E440" s="58"/>
      <x:c r="F440" s="58"/>
      <x:c r="G440" s="59"/>
      <x:c r="H440" s="59" t="n">
        <x:f>SUMIF(Purchases!$D:$D,B440,Purchases!$F:$F)</x:f>
        <x:v>0</x:v>
      </x:c>
      <x:c r="I440" s="59" t="n">
        <x:f>SUMIF(Sales!$D:$D,B440,Sales!$G:$G)</x:f>
        <x:v>0</x:v>
      </x:c>
      <x:c r="J440" s="59" t="n">
        <x:f>G440+H440-I440</x:f>
        <x:v>0</x:v>
      </x:c>
      <x:c r="K440" s="58" t="n">
        <x:f>J440*E440</x:f>
        <x:v>0</x:v>
      </x:c>
      <x:c r="L440" s="59"/>
      <x:c r="M440" s="53"/>
      <x:c r="N440" s="60" t="n">
        <x:f>IFERROR(MAXIFS(Purchases!$B:$B,Purchases!$D:$D,B440),"")</x:f>
        <x:v>0</x:v>
      </x:c>
      <x:c r="O440" s="50"/>
    </x:row>
    <x:row r="441">
      <x:c r="A441" s="53"/>
      <x:c r="B441" s="53"/>
      <x:c r="C441" s="53"/>
      <x:c r="D441" s="53"/>
      <x:c r="E441" s="58"/>
      <x:c r="F441" s="58"/>
      <x:c r="G441" s="59"/>
      <x:c r="H441" s="59" t="n">
        <x:f>SUMIF(Purchases!$D:$D,B441,Purchases!$F:$F)</x:f>
        <x:v>0</x:v>
      </x:c>
      <x:c r="I441" s="59" t="n">
        <x:f>SUMIF(Sales!$D:$D,B441,Sales!$G:$G)</x:f>
        <x:v>0</x:v>
      </x:c>
      <x:c r="J441" s="59" t="n">
        <x:f>G441+H441-I441</x:f>
        <x:v>0</x:v>
      </x:c>
      <x:c r="K441" s="58" t="n">
        <x:f>J441*E441</x:f>
        <x:v>0</x:v>
      </x:c>
      <x:c r="L441" s="59"/>
      <x:c r="M441" s="53"/>
      <x:c r="N441" s="60" t="n">
        <x:f>IFERROR(MAXIFS(Purchases!$B:$B,Purchases!$D:$D,B441),"")</x:f>
        <x:v>0</x:v>
      </x:c>
      <x:c r="O441" s="50"/>
    </x:row>
    <x:row r="442">
      <x:c r="A442" s="53"/>
      <x:c r="B442" s="53"/>
      <x:c r="C442" s="53"/>
      <x:c r="D442" s="53"/>
      <x:c r="E442" s="58"/>
      <x:c r="F442" s="58"/>
      <x:c r="G442" s="59"/>
      <x:c r="H442" s="59" t="n">
        <x:f>SUMIF(Purchases!$D:$D,B442,Purchases!$F:$F)</x:f>
        <x:v>0</x:v>
      </x:c>
      <x:c r="I442" s="59" t="n">
        <x:f>SUMIF(Sales!$D:$D,B442,Sales!$G:$G)</x:f>
        <x:v>0</x:v>
      </x:c>
      <x:c r="J442" s="59" t="n">
        <x:f>G442+H442-I442</x:f>
        <x:v>0</x:v>
      </x:c>
      <x:c r="K442" s="58" t="n">
        <x:f>J442*E442</x:f>
        <x:v>0</x:v>
      </x:c>
      <x:c r="L442" s="59"/>
      <x:c r="M442" s="53"/>
      <x:c r="N442" s="60" t="n">
        <x:f>IFERROR(MAXIFS(Purchases!$B:$B,Purchases!$D:$D,B442),"")</x:f>
        <x:v>0</x:v>
      </x:c>
      <x:c r="O442" s="50"/>
    </x:row>
    <x:row r="443">
      <x:c r="A443" s="53"/>
      <x:c r="B443" s="53"/>
      <x:c r="C443" s="53"/>
      <x:c r="D443" s="53"/>
      <x:c r="E443" s="58"/>
      <x:c r="F443" s="58"/>
      <x:c r="G443" s="59"/>
      <x:c r="H443" s="59" t="n">
        <x:f>SUMIF(Purchases!$D:$D,B443,Purchases!$F:$F)</x:f>
        <x:v>0</x:v>
      </x:c>
      <x:c r="I443" s="59" t="n">
        <x:f>SUMIF(Sales!$D:$D,B443,Sales!$G:$G)</x:f>
        <x:v>0</x:v>
      </x:c>
      <x:c r="J443" s="59" t="n">
        <x:f>G443+H443-I443</x:f>
        <x:v>0</x:v>
      </x:c>
      <x:c r="K443" s="58" t="n">
        <x:f>J443*E443</x:f>
        <x:v>0</x:v>
      </x:c>
      <x:c r="L443" s="59"/>
      <x:c r="M443" s="53"/>
      <x:c r="N443" s="60" t="n">
        <x:f>IFERROR(MAXIFS(Purchases!$B:$B,Purchases!$D:$D,B443),"")</x:f>
        <x:v>0</x:v>
      </x:c>
      <x:c r="O443" s="50"/>
    </x:row>
    <x:row r="444">
      <x:c r="A444" s="53"/>
      <x:c r="B444" s="53"/>
      <x:c r="C444" s="53"/>
      <x:c r="D444" s="53"/>
      <x:c r="E444" s="58"/>
      <x:c r="F444" s="58"/>
      <x:c r="G444" s="59"/>
      <x:c r="H444" s="59" t="n">
        <x:f>SUMIF(Purchases!$D:$D,B444,Purchases!$F:$F)</x:f>
        <x:v>0</x:v>
      </x:c>
      <x:c r="I444" s="59" t="n">
        <x:f>SUMIF(Sales!$D:$D,B444,Sales!$G:$G)</x:f>
        <x:v>0</x:v>
      </x:c>
      <x:c r="J444" s="59" t="n">
        <x:f>G444+H444-I444</x:f>
        <x:v>0</x:v>
      </x:c>
      <x:c r="K444" s="58" t="n">
        <x:f>J444*E444</x:f>
        <x:v>0</x:v>
      </x:c>
      <x:c r="L444" s="59"/>
      <x:c r="M444" s="53"/>
      <x:c r="N444" s="60" t="n">
        <x:f>IFERROR(MAXIFS(Purchases!$B:$B,Purchases!$D:$D,B444),"")</x:f>
        <x:v>0</x:v>
      </x:c>
      <x:c r="O444" s="50"/>
    </x:row>
    <x:row r="445">
      <x:c r="A445" s="53"/>
      <x:c r="B445" s="53"/>
      <x:c r="C445" s="53"/>
      <x:c r="D445" s="53"/>
      <x:c r="E445" s="58"/>
      <x:c r="F445" s="58"/>
      <x:c r="G445" s="59"/>
      <x:c r="H445" s="59" t="n">
        <x:f>SUMIF(Purchases!$D:$D,B445,Purchases!$F:$F)</x:f>
        <x:v>0</x:v>
      </x:c>
      <x:c r="I445" s="59" t="n">
        <x:f>SUMIF(Sales!$D:$D,B445,Sales!$G:$G)</x:f>
        <x:v>0</x:v>
      </x:c>
      <x:c r="J445" s="59" t="n">
        <x:f>G445+H445-I445</x:f>
        <x:v>0</x:v>
      </x:c>
      <x:c r="K445" s="58" t="n">
        <x:f>J445*E445</x:f>
        <x:v>0</x:v>
      </x:c>
      <x:c r="L445" s="59"/>
      <x:c r="M445" s="53"/>
      <x:c r="N445" s="60" t="n">
        <x:f>IFERROR(MAXIFS(Purchases!$B:$B,Purchases!$D:$D,B445),"")</x:f>
        <x:v>0</x:v>
      </x:c>
      <x:c r="O445" s="50"/>
    </x:row>
    <x:row r="446">
      <x:c r="A446" s="53"/>
      <x:c r="B446" s="53"/>
      <x:c r="C446" s="53"/>
      <x:c r="D446" s="53"/>
      <x:c r="E446" s="58"/>
      <x:c r="F446" s="58"/>
      <x:c r="G446" s="59"/>
      <x:c r="H446" s="59" t="n">
        <x:f>SUMIF(Purchases!$D:$D,B446,Purchases!$F:$F)</x:f>
        <x:v>0</x:v>
      </x:c>
      <x:c r="I446" s="59" t="n">
        <x:f>SUMIF(Sales!$D:$D,B446,Sales!$G:$G)</x:f>
        <x:v>0</x:v>
      </x:c>
      <x:c r="J446" s="59" t="n">
        <x:f>G446+H446-I446</x:f>
        <x:v>0</x:v>
      </x:c>
      <x:c r="K446" s="58" t="n">
        <x:f>J446*E446</x:f>
        <x:v>0</x:v>
      </x:c>
      <x:c r="L446" s="59"/>
      <x:c r="M446" s="53"/>
      <x:c r="N446" s="60" t="n">
        <x:f>IFERROR(MAXIFS(Purchases!$B:$B,Purchases!$D:$D,B446),"")</x:f>
        <x:v>0</x:v>
      </x:c>
      <x:c r="O446" s="50"/>
    </x:row>
    <x:row r="447">
      <x:c r="A447" s="53"/>
      <x:c r="B447" s="53"/>
      <x:c r="C447" s="53"/>
      <x:c r="D447" s="53"/>
      <x:c r="E447" s="58"/>
      <x:c r="F447" s="58"/>
      <x:c r="G447" s="59"/>
      <x:c r="H447" s="59" t="n">
        <x:f>SUMIF(Purchases!$D:$D,B447,Purchases!$F:$F)</x:f>
        <x:v>0</x:v>
      </x:c>
      <x:c r="I447" s="59" t="n">
        <x:f>SUMIF(Sales!$D:$D,B447,Sales!$G:$G)</x:f>
        <x:v>0</x:v>
      </x:c>
      <x:c r="J447" s="59" t="n">
        <x:f>G447+H447-I447</x:f>
        <x:v>0</x:v>
      </x:c>
      <x:c r="K447" s="58" t="n">
        <x:f>J447*E447</x:f>
        <x:v>0</x:v>
      </x:c>
      <x:c r="L447" s="59"/>
      <x:c r="M447" s="53"/>
      <x:c r="N447" s="60" t="n">
        <x:f>IFERROR(MAXIFS(Purchases!$B:$B,Purchases!$D:$D,B447),"")</x:f>
        <x:v>0</x:v>
      </x:c>
      <x:c r="O447" s="50"/>
    </x:row>
    <x:row r="448">
      <x:c r="A448" s="53"/>
      <x:c r="B448" s="53"/>
      <x:c r="C448" s="53"/>
      <x:c r="D448" s="53"/>
      <x:c r="E448" s="58"/>
      <x:c r="F448" s="58"/>
      <x:c r="G448" s="59"/>
      <x:c r="H448" s="59" t="n">
        <x:f>SUMIF(Purchases!$D:$D,B448,Purchases!$F:$F)</x:f>
        <x:v>0</x:v>
      </x:c>
      <x:c r="I448" s="59" t="n">
        <x:f>SUMIF(Sales!$D:$D,B448,Sales!$G:$G)</x:f>
        <x:v>0</x:v>
      </x:c>
      <x:c r="J448" s="59" t="n">
        <x:f>G448+H448-I448</x:f>
        <x:v>0</x:v>
      </x:c>
      <x:c r="K448" s="58" t="n">
        <x:f>J448*E448</x:f>
        <x:v>0</x:v>
      </x:c>
      <x:c r="L448" s="59"/>
      <x:c r="M448" s="53"/>
      <x:c r="N448" s="60" t="n">
        <x:f>IFERROR(MAXIFS(Purchases!$B:$B,Purchases!$D:$D,B448),"")</x:f>
        <x:v>0</x:v>
      </x:c>
      <x:c r="O448" s="50"/>
    </x:row>
    <x:row r="449">
      <x:c r="A449" s="53"/>
      <x:c r="B449" s="53"/>
      <x:c r="C449" s="53"/>
      <x:c r="D449" s="53"/>
      <x:c r="E449" s="58"/>
      <x:c r="F449" s="58"/>
      <x:c r="G449" s="59"/>
      <x:c r="H449" s="59" t="n">
        <x:f>SUMIF(Purchases!$D:$D,B449,Purchases!$F:$F)</x:f>
        <x:v>0</x:v>
      </x:c>
      <x:c r="I449" s="59" t="n">
        <x:f>SUMIF(Sales!$D:$D,B449,Sales!$G:$G)</x:f>
        <x:v>0</x:v>
      </x:c>
      <x:c r="J449" s="59" t="n">
        <x:f>G449+H449-I449</x:f>
        <x:v>0</x:v>
      </x:c>
      <x:c r="K449" s="58" t="n">
        <x:f>J449*E449</x:f>
        <x:v>0</x:v>
      </x:c>
      <x:c r="L449" s="59"/>
      <x:c r="M449" s="53"/>
      <x:c r="N449" s="60" t="n">
        <x:f>IFERROR(MAXIFS(Purchases!$B:$B,Purchases!$D:$D,B449),"")</x:f>
        <x:v>0</x:v>
      </x:c>
      <x:c r="O449" s="50"/>
    </x:row>
    <x:row r="450">
      <x:c r="A450" s="53"/>
      <x:c r="B450" s="53"/>
      <x:c r="C450" s="53"/>
      <x:c r="D450" s="53"/>
      <x:c r="E450" s="58"/>
      <x:c r="F450" s="58"/>
      <x:c r="G450" s="59"/>
      <x:c r="H450" s="59" t="n">
        <x:f>SUMIF(Purchases!$D:$D,B450,Purchases!$F:$F)</x:f>
        <x:v>0</x:v>
      </x:c>
      <x:c r="I450" s="59" t="n">
        <x:f>SUMIF(Sales!$D:$D,B450,Sales!$G:$G)</x:f>
        <x:v>0</x:v>
      </x:c>
      <x:c r="J450" s="59" t="n">
        <x:f>G450+H450-I450</x:f>
        <x:v>0</x:v>
      </x:c>
      <x:c r="K450" s="58" t="n">
        <x:f>J450*E450</x:f>
        <x:v>0</x:v>
      </x:c>
      <x:c r="L450" s="59"/>
      <x:c r="M450" s="53"/>
      <x:c r="N450" s="60" t="n">
        <x:f>IFERROR(MAXIFS(Purchases!$B:$B,Purchases!$D:$D,B450),"")</x:f>
        <x:v>0</x:v>
      </x:c>
      <x:c r="O450" s="50"/>
    </x:row>
    <x:row r="451">
      <x:c r="A451" s="53"/>
      <x:c r="B451" s="53"/>
      <x:c r="C451" s="53"/>
      <x:c r="D451" s="53"/>
      <x:c r="E451" s="58"/>
      <x:c r="F451" s="58"/>
      <x:c r="G451" s="59"/>
      <x:c r="H451" s="59" t="n">
        <x:f>SUMIF(Purchases!$D:$D,B451,Purchases!$F:$F)</x:f>
        <x:v>0</x:v>
      </x:c>
      <x:c r="I451" s="59" t="n">
        <x:f>SUMIF(Sales!$D:$D,B451,Sales!$G:$G)</x:f>
        <x:v>0</x:v>
      </x:c>
      <x:c r="J451" s="59" t="n">
        <x:f>G451+H451-I451</x:f>
        <x:v>0</x:v>
      </x:c>
      <x:c r="K451" s="58" t="n">
        <x:f>J451*E451</x:f>
        <x:v>0</x:v>
      </x:c>
      <x:c r="L451" s="59"/>
      <x:c r="M451" s="53"/>
      <x:c r="N451" s="60" t="n">
        <x:f>IFERROR(MAXIFS(Purchases!$B:$B,Purchases!$D:$D,B451),"")</x:f>
        <x:v>0</x:v>
      </x:c>
      <x:c r="O451" s="50"/>
    </x:row>
    <x:row r="452">
      <x:c r="A452" s="53"/>
      <x:c r="B452" s="53"/>
      <x:c r="C452" s="53"/>
      <x:c r="D452" s="53"/>
      <x:c r="E452" s="58"/>
      <x:c r="F452" s="58"/>
      <x:c r="G452" s="59"/>
      <x:c r="H452" s="59" t="n">
        <x:f>SUMIF(Purchases!$D:$D,B452,Purchases!$F:$F)</x:f>
        <x:v>0</x:v>
      </x:c>
      <x:c r="I452" s="59" t="n">
        <x:f>SUMIF(Sales!$D:$D,B452,Sales!$G:$G)</x:f>
        <x:v>0</x:v>
      </x:c>
      <x:c r="J452" s="59" t="n">
        <x:f>G452+H452-I452</x:f>
        <x:v>0</x:v>
      </x:c>
      <x:c r="K452" s="58" t="n">
        <x:f>J452*E452</x:f>
        <x:v>0</x:v>
      </x:c>
      <x:c r="L452" s="59"/>
      <x:c r="M452" s="53"/>
      <x:c r="N452" s="60" t="n">
        <x:f>IFERROR(MAXIFS(Purchases!$B:$B,Purchases!$D:$D,B452),"")</x:f>
        <x:v>0</x:v>
      </x:c>
      <x:c r="O452" s="50"/>
    </x:row>
    <x:row r="453">
      <x:c r="A453" s="53"/>
      <x:c r="B453" s="53"/>
      <x:c r="C453" s="53"/>
      <x:c r="D453" s="53"/>
      <x:c r="E453" s="58"/>
      <x:c r="F453" s="58"/>
      <x:c r="G453" s="59"/>
      <x:c r="H453" s="59" t="n">
        <x:f>SUMIF(Purchases!$D:$D,B453,Purchases!$F:$F)</x:f>
        <x:v>0</x:v>
      </x:c>
      <x:c r="I453" s="59" t="n">
        <x:f>SUMIF(Sales!$D:$D,B453,Sales!$G:$G)</x:f>
        <x:v>0</x:v>
      </x:c>
      <x:c r="J453" s="59" t="n">
        <x:f>G453+H453-I453</x:f>
        <x:v>0</x:v>
      </x:c>
      <x:c r="K453" s="58" t="n">
        <x:f>J453*E453</x:f>
        <x:v>0</x:v>
      </x:c>
      <x:c r="L453" s="59"/>
      <x:c r="M453" s="53"/>
      <x:c r="N453" s="60" t="n">
        <x:f>IFERROR(MAXIFS(Purchases!$B:$B,Purchases!$D:$D,B453),"")</x:f>
        <x:v>0</x:v>
      </x:c>
      <x:c r="O453" s="50"/>
    </x:row>
    <x:row r="454">
      <x:c r="A454" s="53"/>
      <x:c r="B454" s="53"/>
      <x:c r="C454" s="53"/>
      <x:c r="D454" s="53"/>
      <x:c r="E454" s="58"/>
      <x:c r="F454" s="58"/>
      <x:c r="G454" s="59"/>
      <x:c r="H454" s="59" t="n">
        <x:f>SUMIF(Purchases!$D:$D,B454,Purchases!$F:$F)</x:f>
        <x:v>0</x:v>
      </x:c>
      <x:c r="I454" s="59" t="n">
        <x:f>SUMIF(Sales!$D:$D,B454,Sales!$G:$G)</x:f>
        <x:v>0</x:v>
      </x:c>
      <x:c r="J454" s="59" t="n">
        <x:f>G454+H454-I454</x:f>
        <x:v>0</x:v>
      </x:c>
      <x:c r="K454" s="58" t="n">
        <x:f>J454*E454</x:f>
        <x:v>0</x:v>
      </x:c>
      <x:c r="L454" s="59"/>
      <x:c r="M454" s="53"/>
      <x:c r="N454" s="60" t="n">
        <x:f>IFERROR(MAXIFS(Purchases!$B:$B,Purchases!$D:$D,B454),"")</x:f>
        <x:v>0</x:v>
      </x:c>
      <x:c r="O454" s="50"/>
    </x:row>
    <x:row r="455">
      <x:c r="A455" s="53"/>
      <x:c r="B455" s="53"/>
      <x:c r="C455" s="53"/>
      <x:c r="D455" s="53"/>
      <x:c r="E455" s="58"/>
      <x:c r="F455" s="58"/>
      <x:c r="G455" s="59"/>
      <x:c r="H455" s="59" t="n">
        <x:f>SUMIF(Purchases!$D:$D,B455,Purchases!$F:$F)</x:f>
        <x:v>0</x:v>
      </x:c>
      <x:c r="I455" s="59" t="n">
        <x:f>SUMIF(Sales!$D:$D,B455,Sales!$G:$G)</x:f>
        <x:v>0</x:v>
      </x:c>
      <x:c r="J455" s="59" t="n">
        <x:f>G455+H455-I455</x:f>
        <x:v>0</x:v>
      </x:c>
      <x:c r="K455" s="58" t="n">
        <x:f>J455*E455</x:f>
        <x:v>0</x:v>
      </x:c>
      <x:c r="L455" s="59"/>
      <x:c r="M455" s="53"/>
      <x:c r="N455" s="60" t="n">
        <x:f>IFERROR(MAXIFS(Purchases!$B:$B,Purchases!$D:$D,B455),"")</x:f>
        <x:v>0</x:v>
      </x:c>
      <x:c r="O455" s="50"/>
    </x:row>
    <x:row r="456">
      <x:c r="A456" s="53"/>
      <x:c r="B456" s="53"/>
      <x:c r="C456" s="53"/>
      <x:c r="D456" s="53"/>
      <x:c r="E456" s="58"/>
      <x:c r="F456" s="58"/>
      <x:c r="G456" s="59"/>
      <x:c r="H456" s="59" t="n">
        <x:f>SUMIF(Purchases!$D:$D,B456,Purchases!$F:$F)</x:f>
        <x:v>0</x:v>
      </x:c>
      <x:c r="I456" s="59" t="n">
        <x:f>SUMIF(Sales!$D:$D,B456,Sales!$G:$G)</x:f>
        <x:v>0</x:v>
      </x:c>
      <x:c r="J456" s="59" t="n">
        <x:f>G456+H456-I456</x:f>
        <x:v>0</x:v>
      </x:c>
      <x:c r="K456" s="58" t="n">
        <x:f>J456*E456</x:f>
        <x:v>0</x:v>
      </x:c>
      <x:c r="L456" s="59"/>
      <x:c r="M456" s="53"/>
      <x:c r="N456" s="60" t="n">
        <x:f>IFERROR(MAXIFS(Purchases!$B:$B,Purchases!$D:$D,B456),"")</x:f>
        <x:v>0</x:v>
      </x:c>
      <x:c r="O456" s="50"/>
    </x:row>
    <x:row r="457">
      <x:c r="A457" s="53"/>
      <x:c r="B457" s="53"/>
      <x:c r="C457" s="53"/>
      <x:c r="D457" s="53"/>
      <x:c r="E457" s="58"/>
      <x:c r="F457" s="58"/>
      <x:c r="G457" s="59"/>
      <x:c r="H457" s="59" t="n">
        <x:f>SUMIF(Purchases!$D:$D,B457,Purchases!$F:$F)</x:f>
        <x:v>0</x:v>
      </x:c>
      <x:c r="I457" s="59" t="n">
        <x:f>SUMIF(Sales!$D:$D,B457,Sales!$G:$G)</x:f>
        <x:v>0</x:v>
      </x:c>
      <x:c r="J457" s="59" t="n">
        <x:f>G457+H457-I457</x:f>
        <x:v>0</x:v>
      </x:c>
      <x:c r="K457" s="58" t="n">
        <x:f>J457*E457</x:f>
        <x:v>0</x:v>
      </x:c>
      <x:c r="L457" s="59"/>
      <x:c r="M457" s="53"/>
      <x:c r="N457" s="60" t="n">
        <x:f>IFERROR(MAXIFS(Purchases!$B:$B,Purchases!$D:$D,B457),"")</x:f>
        <x:v>0</x:v>
      </x:c>
      <x:c r="O457" s="50"/>
    </x:row>
    <x:row r="458">
      <x:c r="A458" s="53"/>
      <x:c r="B458" s="53"/>
      <x:c r="C458" s="53"/>
      <x:c r="D458" s="53"/>
      <x:c r="E458" s="58"/>
      <x:c r="F458" s="58"/>
      <x:c r="G458" s="59"/>
      <x:c r="H458" s="59" t="n">
        <x:f>SUMIF(Purchases!$D:$D,B458,Purchases!$F:$F)</x:f>
        <x:v>0</x:v>
      </x:c>
      <x:c r="I458" s="59" t="n">
        <x:f>SUMIF(Sales!$D:$D,B458,Sales!$G:$G)</x:f>
        <x:v>0</x:v>
      </x:c>
      <x:c r="J458" s="59" t="n">
        <x:f>G458+H458-I458</x:f>
        <x:v>0</x:v>
      </x:c>
      <x:c r="K458" s="58" t="n">
        <x:f>J458*E458</x:f>
        <x:v>0</x:v>
      </x:c>
      <x:c r="L458" s="59"/>
      <x:c r="M458" s="53"/>
      <x:c r="N458" s="60" t="n">
        <x:f>IFERROR(MAXIFS(Purchases!$B:$B,Purchases!$D:$D,B458),"")</x:f>
        <x:v>0</x:v>
      </x:c>
      <x:c r="O458" s="50"/>
    </x:row>
    <x:row r="459">
      <x:c r="A459" s="53"/>
      <x:c r="B459" s="53"/>
      <x:c r="C459" s="53"/>
      <x:c r="D459" s="53"/>
      <x:c r="E459" s="58"/>
      <x:c r="F459" s="58"/>
      <x:c r="G459" s="59"/>
      <x:c r="H459" s="59" t="n">
        <x:f>SUMIF(Purchases!$D:$D,B459,Purchases!$F:$F)</x:f>
        <x:v>0</x:v>
      </x:c>
      <x:c r="I459" s="59" t="n">
        <x:f>SUMIF(Sales!$D:$D,B459,Sales!$G:$G)</x:f>
        <x:v>0</x:v>
      </x:c>
      <x:c r="J459" s="59" t="n">
        <x:f>G459+H459-I459</x:f>
        <x:v>0</x:v>
      </x:c>
      <x:c r="K459" s="58" t="n">
        <x:f>J459*E459</x:f>
        <x:v>0</x:v>
      </x:c>
      <x:c r="L459" s="59"/>
      <x:c r="M459" s="53"/>
      <x:c r="N459" s="60" t="n">
        <x:f>IFERROR(MAXIFS(Purchases!$B:$B,Purchases!$D:$D,B459),"")</x:f>
        <x:v>0</x:v>
      </x:c>
      <x:c r="O459" s="50"/>
    </x:row>
    <x:row r="460">
      <x:c r="A460" s="53"/>
      <x:c r="B460" s="53"/>
      <x:c r="C460" s="53"/>
      <x:c r="D460" s="53"/>
      <x:c r="E460" s="58"/>
      <x:c r="F460" s="58"/>
      <x:c r="G460" s="59"/>
      <x:c r="H460" s="59" t="n">
        <x:f>SUMIF(Purchases!$D:$D,B460,Purchases!$F:$F)</x:f>
        <x:v>0</x:v>
      </x:c>
      <x:c r="I460" s="59" t="n">
        <x:f>SUMIF(Sales!$D:$D,B460,Sales!$G:$G)</x:f>
        <x:v>0</x:v>
      </x:c>
      <x:c r="J460" s="59" t="n">
        <x:f>G460+H460-I460</x:f>
        <x:v>0</x:v>
      </x:c>
      <x:c r="K460" s="58" t="n">
        <x:f>J460*E460</x:f>
        <x:v>0</x:v>
      </x:c>
      <x:c r="L460" s="59"/>
      <x:c r="M460" s="53"/>
      <x:c r="N460" s="60" t="n">
        <x:f>IFERROR(MAXIFS(Purchases!$B:$B,Purchases!$D:$D,B460),"")</x:f>
        <x:v>0</x:v>
      </x:c>
      <x:c r="O460" s="50"/>
    </x:row>
    <x:row r="461">
      <x:c r="A461" s="53"/>
      <x:c r="B461" s="53"/>
      <x:c r="C461" s="53"/>
      <x:c r="D461" s="53"/>
      <x:c r="E461" s="58"/>
      <x:c r="F461" s="58"/>
      <x:c r="G461" s="59"/>
      <x:c r="H461" s="59" t="n">
        <x:f>SUMIF(Purchases!$D:$D,B461,Purchases!$F:$F)</x:f>
        <x:v>0</x:v>
      </x:c>
      <x:c r="I461" s="59" t="n">
        <x:f>SUMIF(Sales!$D:$D,B461,Sales!$G:$G)</x:f>
        <x:v>0</x:v>
      </x:c>
      <x:c r="J461" s="59" t="n">
        <x:f>G461+H461-I461</x:f>
        <x:v>0</x:v>
      </x:c>
      <x:c r="K461" s="58" t="n">
        <x:f>J461*E461</x:f>
        <x:v>0</x:v>
      </x:c>
      <x:c r="L461" s="59"/>
      <x:c r="M461" s="53"/>
      <x:c r="N461" s="60" t="n">
        <x:f>IFERROR(MAXIFS(Purchases!$B:$B,Purchases!$D:$D,B461),"")</x:f>
        <x:v>0</x:v>
      </x:c>
      <x:c r="O461" s="50"/>
    </x:row>
    <x:row r="462">
      <x:c r="A462" s="53"/>
      <x:c r="B462" s="53"/>
      <x:c r="C462" s="53"/>
      <x:c r="D462" s="53"/>
      <x:c r="E462" s="58"/>
      <x:c r="F462" s="58"/>
      <x:c r="G462" s="59"/>
      <x:c r="H462" s="59" t="n">
        <x:f>SUMIF(Purchases!$D:$D,B462,Purchases!$F:$F)</x:f>
        <x:v>0</x:v>
      </x:c>
      <x:c r="I462" s="59" t="n">
        <x:f>SUMIF(Sales!$D:$D,B462,Sales!$G:$G)</x:f>
        <x:v>0</x:v>
      </x:c>
      <x:c r="J462" s="59" t="n">
        <x:f>G462+H462-I462</x:f>
        <x:v>0</x:v>
      </x:c>
      <x:c r="K462" s="58" t="n">
        <x:f>J462*E462</x:f>
        <x:v>0</x:v>
      </x:c>
      <x:c r="L462" s="59"/>
      <x:c r="M462" s="53"/>
      <x:c r="N462" s="60" t="n">
        <x:f>IFERROR(MAXIFS(Purchases!$B:$B,Purchases!$D:$D,B462),"")</x:f>
        <x:v>0</x:v>
      </x:c>
      <x:c r="O462" s="50"/>
    </x:row>
    <x:row r="463">
      <x:c r="A463" s="53"/>
      <x:c r="B463" s="53"/>
      <x:c r="C463" s="53"/>
      <x:c r="D463" s="53"/>
      <x:c r="E463" s="58"/>
      <x:c r="F463" s="58"/>
      <x:c r="G463" s="59"/>
      <x:c r="H463" s="59" t="n">
        <x:f>SUMIF(Purchases!$D:$D,B463,Purchases!$F:$F)</x:f>
        <x:v>0</x:v>
      </x:c>
      <x:c r="I463" s="59" t="n">
        <x:f>SUMIF(Sales!$D:$D,B463,Sales!$G:$G)</x:f>
        <x:v>0</x:v>
      </x:c>
      <x:c r="J463" s="59" t="n">
        <x:f>G463+H463-I463</x:f>
        <x:v>0</x:v>
      </x:c>
      <x:c r="K463" s="58" t="n">
        <x:f>J463*E463</x:f>
        <x:v>0</x:v>
      </x:c>
      <x:c r="L463" s="59"/>
      <x:c r="M463" s="53"/>
      <x:c r="N463" s="60" t="n">
        <x:f>IFERROR(MAXIFS(Purchases!$B:$B,Purchases!$D:$D,B463),"")</x:f>
        <x:v>0</x:v>
      </x:c>
      <x:c r="O463" s="50"/>
    </x:row>
    <x:row r="464">
      <x:c r="A464" s="53"/>
      <x:c r="B464" s="53"/>
      <x:c r="C464" s="53"/>
      <x:c r="D464" s="53"/>
      <x:c r="E464" s="58"/>
      <x:c r="F464" s="58"/>
      <x:c r="G464" s="59"/>
      <x:c r="H464" s="59" t="n">
        <x:f>SUMIF(Purchases!$D:$D,B464,Purchases!$F:$F)</x:f>
        <x:v>0</x:v>
      </x:c>
      <x:c r="I464" s="59" t="n">
        <x:f>SUMIF(Sales!$D:$D,B464,Sales!$G:$G)</x:f>
        <x:v>0</x:v>
      </x:c>
      <x:c r="J464" s="59" t="n">
        <x:f>G464+H464-I464</x:f>
        <x:v>0</x:v>
      </x:c>
      <x:c r="K464" s="58" t="n">
        <x:f>J464*E464</x:f>
        <x:v>0</x:v>
      </x:c>
      <x:c r="L464" s="59"/>
      <x:c r="M464" s="53"/>
      <x:c r="N464" s="60" t="n">
        <x:f>IFERROR(MAXIFS(Purchases!$B:$B,Purchases!$D:$D,B464),"")</x:f>
        <x:v>0</x:v>
      </x:c>
      <x:c r="O464" s="50"/>
    </x:row>
    <x:row r="465">
      <x:c r="A465" s="53"/>
      <x:c r="B465" s="53"/>
      <x:c r="C465" s="53"/>
      <x:c r="D465" s="53"/>
      <x:c r="E465" s="58"/>
      <x:c r="F465" s="58"/>
      <x:c r="G465" s="59"/>
      <x:c r="H465" s="59" t="n">
        <x:f>SUMIF(Purchases!$D:$D,B465,Purchases!$F:$F)</x:f>
        <x:v>0</x:v>
      </x:c>
      <x:c r="I465" s="59" t="n">
        <x:f>SUMIF(Sales!$D:$D,B465,Sales!$G:$G)</x:f>
        <x:v>0</x:v>
      </x:c>
      <x:c r="J465" s="59" t="n">
        <x:f>G465+H465-I465</x:f>
        <x:v>0</x:v>
      </x:c>
      <x:c r="K465" s="58" t="n">
        <x:f>J465*E465</x:f>
        <x:v>0</x:v>
      </x:c>
      <x:c r="L465" s="59"/>
      <x:c r="M465" s="53"/>
      <x:c r="N465" s="60" t="n">
        <x:f>IFERROR(MAXIFS(Purchases!$B:$B,Purchases!$D:$D,B465),"")</x:f>
        <x:v>0</x:v>
      </x:c>
      <x:c r="O465" s="50"/>
    </x:row>
    <x:row r="466">
      <x:c r="A466" s="53"/>
      <x:c r="B466" s="53"/>
      <x:c r="C466" s="53"/>
      <x:c r="D466" s="53"/>
      <x:c r="E466" s="58"/>
      <x:c r="F466" s="58"/>
      <x:c r="G466" s="59"/>
      <x:c r="H466" s="59" t="n">
        <x:f>SUMIF(Purchases!$D:$D,B466,Purchases!$F:$F)</x:f>
        <x:v>0</x:v>
      </x:c>
      <x:c r="I466" s="59" t="n">
        <x:f>SUMIF(Sales!$D:$D,B466,Sales!$G:$G)</x:f>
        <x:v>0</x:v>
      </x:c>
      <x:c r="J466" s="59" t="n">
        <x:f>G466+H466-I466</x:f>
        <x:v>0</x:v>
      </x:c>
      <x:c r="K466" s="58" t="n">
        <x:f>J466*E466</x:f>
        <x:v>0</x:v>
      </x:c>
      <x:c r="L466" s="59"/>
      <x:c r="M466" s="53"/>
      <x:c r="N466" s="60" t="n">
        <x:f>IFERROR(MAXIFS(Purchases!$B:$B,Purchases!$D:$D,B466),"")</x:f>
        <x:v>0</x:v>
      </x:c>
      <x:c r="O466" s="50"/>
    </x:row>
    <x:row r="467">
      <x:c r="A467" s="53"/>
      <x:c r="B467" s="53"/>
      <x:c r="C467" s="53"/>
      <x:c r="D467" s="53"/>
      <x:c r="E467" s="58"/>
      <x:c r="F467" s="58"/>
      <x:c r="G467" s="59"/>
      <x:c r="H467" s="59" t="n">
        <x:f>SUMIF(Purchases!$D:$D,B467,Purchases!$F:$F)</x:f>
        <x:v>0</x:v>
      </x:c>
      <x:c r="I467" s="59" t="n">
        <x:f>SUMIF(Sales!$D:$D,B467,Sales!$G:$G)</x:f>
        <x:v>0</x:v>
      </x:c>
      <x:c r="J467" s="59" t="n">
        <x:f>G467+H467-I467</x:f>
        <x:v>0</x:v>
      </x:c>
      <x:c r="K467" s="58" t="n">
        <x:f>J467*E467</x:f>
        <x:v>0</x:v>
      </x:c>
      <x:c r="L467" s="59"/>
      <x:c r="M467" s="53"/>
      <x:c r="N467" s="60" t="n">
        <x:f>IFERROR(MAXIFS(Purchases!$B:$B,Purchases!$D:$D,B467),"")</x:f>
        <x:v>0</x:v>
      </x:c>
      <x:c r="O467" s="50"/>
    </x:row>
    <x:row r="468">
      <x:c r="A468" s="53"/>
      <x:c r="B468" s="53"/>
      <x:c r="C468" s="53"/>
      <x:c r="D468" s="53"/>
      <x:c r="E468" s="58"/>
      <x:c r="F468" s="58"/>
      <x:c r="G468" s="59"/>
      <x:c r="H468" s="59" t="n">
        <x:f>SUMIF(Purchases!$D:$D,B468,Purchases!$F:$F)</x:f>
        <x:v>0</x:v>
      </x:c>
      <x:c r="I468" s="59" t="n">
        <x:f>SUMIF(Sales!$D:$D,B468,Sales!$G:$G)</x:f>
        <x:v>0</x:v>
      </x:c>
      <x:c r="J468" s="59" t="n">
        <x:f>G468+H468-I468</x:f>
        <x:v>0</x:v>
      </x:c>
      <x:c r="K468" s="58" t="n">
        <x:f>J468*E468</x:f>
        <x:v>0</x:v>
      </x:c>
      <x:c r="L468" s="59"/>
      <x:c r="M468" s="53"/>
      <x:c r="N468" s="60" t="n">
        <x:f>IFERROR(MAXIFS(Purchases!$B:$B,Purchases!$D:$D,B468),"")</x:f>
        <x:v>0</x:v>
      </x:c>
      <x:c r="O468" s="50"/>
    </x:row>
    <x:row r="469">
      <x:c r="A469" s="53"/>
      <x:c r="B469" s="53"/>
      <x:c r="C469" s="53"/>
      <x:c r="D469" s="53"/>
      <x:c r="E469" s="58"/>
      <x:c r="F469" s="58"/>
      <x:c r="G469" s="59"/>
      <x:c r="H469" s="59" t="n">
        <x:f>SUMIF(Purchases!$D:$D,B469,Purchases!$F:$F)</x:f>
        <x:v>0</x:v>
      </x:c>
      <x:c r="I469" s="59" t="n">
        <x:f>SUMIF(Sales!$D:$D,B469,Sales!$G:$G)</x:f>
        <x:v>0</x:v>
      </x:c>
      <x:c r="J469" s="59" t="n">
        <x:f>G469+H469-I469</x:f>
        <x:v>0</x:v>
      </x:c>
      <x:c r="K469" s="58" t="n">
        <x:f>J469*E469</x:f>
        <x:v>0</x:v>
      </x:c>
      <x:c r="L469" s="59"/>
      <x:c r="M469" s="53"/>
      <x:c r="N469" s="60" t="n">
        <x:f>IFERROR(MAXIFS(Purchases!$B:$B,Purchases!$D:$D,B469),"")</x:f>
        <x:v>0</x:v>
      </x:c>
      <x:c r="O469" s="50"/>
    </x:row>
    <x:row r="470">
      <x:c r="A470" s="53"/>
      <x:c r="B470" s="53"/>
      <x:c r="C470" s="53"/>
      <x:c r="D470" s="53"/>
      <x:c r="E470" s="58"/>
      <x:c r="F470" s="58"/>
      <x:c r="G470" s="59"/>
      <x:c r="H470" s="59" t="n">
        <x:f>SUMIF(Purchases!$D:$D,B470,Purchases!$F:$F)</x:f>
        <x:v>0</x:v>
      </x:c>
      <x:c r="I470" s="59" t="n">
        <x:f>SUMIF(Sales!$D:$D,B470,Sales!$G:$G)</x:f>
        <x:v>0</x:v>
      </x:c>
      <x:c r="J470" s="59" t="n">
        <x:f>G470+H470-I470</x:f>
        <x:v>0</x:v>
      </x:c>
      <x:c r="K470" s="58" t="n">
        <x:f>J470*E470</x:f>
        <x:v>0</x:v>
      </x:c>
      <x:c r="L470" s="59"/>
      <x:c r="M470" s="53"/>
      <x:c r="N470" s="60" t="n">
        <x:f>IFERROR(MAXIFS(Purchases!$B:$B,Purchases!$D:$D,B470),"")</x:f>
        <x:v>0</x:v>
      </x:c>
      <x:c r="O470" s="50"/>
    </x:row>
    <x:row r="471">
      <x:c r="A471" s="53"/>
      <x:c r="B471" s="53"/>
      <x:c r="C471" s="53"/>
      <x:c r="D471" s="53"/>
      <x:c r="E471" s="58"/>
      <x:c r="F471" s="58"/>
      <x:c r="G471" s="59"/>
      <x:c r="H471" s="59" t="n">
        <x:f>SUMIF(Purchases!$D:$D,B471,Purchases!$F:$F)</x:f>
        <x:v>0</x:v>
      </x:c>
      <x:c r="I471" s="59" t="n">
        <x:f>SUMIF(Sales!$D:$D,B471,Sales!$G:$G)</x:f>
        <x:v>0</x:v>
      </x:c>
      <x:c r="J471" s="59" t="n">
        <x:f>G471+H471-I471</x:f>
        <x:v>0</x:v>
      </x:c>
      <x:c r="K471" s="58" t="n">
        <x:f>J471*E471</x:f>
        <x:v>0</x:v>
      </x:c>
      <x:c r="L471" s="59"/>
      <x:c r="M471" s="53"/>
      <x:c r="N471" s="60" t="n">
        <x:f>IFERROR(MAXIFS(Purchases!$B:$B,Purchases!$D:$D,B471),"")</x:f>
        <x:v>0</x:v>
      </x:c>
      <x:c r="O471" s="50"/>
    </x:row>
    <x:row r="472">
      <x:c r="A472" s="53"/>
      <x:c r="B472" s="53"/>
      <x:c r="C472" s="53"/>
      <x:c r="D472" s="53"/>
      <x:c r="E472" s="58"/>
      <x:c r="F472" s="58"/>
      <x:c r="G472" s="59"/>
      <x:c r="H472" s="59" t="n">
        <x:f>SUMIF(Purchases!$D:$D,B472,Purchases!$F:$F)</x:f>
        <x:v>0</x:v>
      </x:c>
      <x:c r="I472" s="59" t="n">
        <x:f>SUMIF(Sales!$D:$D,B472,Sales!$G:$G)</x:f>
        <x:v>0</x:v>
      </x:c>
      <x:c r="J472" s="59" t="n">
        <x:f>G472+H472-I472</x:f>
        <x:v>0</x:v>
      </x:c>
      <x:c r="K472" s="58" t="n">
        <x:f>J472*E472</x:f>
        <x:v>0</x:v>
      </x:c>
      <x:c r="L472" s="59"/>
      <x:c r="M472" s="53"/>
      <x:c r="N472" s="60" t="n">
        <x:f>IFERROR(MAXIFS(Purchases!$B:$B,Purchases!$D:$D,B472),"")</x:f>
        <x:v>0</x:v>
      </x:c>
      <x:c r="O472" s="50"/>
    </x:row>
    <x:row r="473">
      <x:c r="A473" s="53"/>
      <x:c r="B473" s="53"/>
      <x:c r="C473" s="53"/>
      <x:c r="D473" s="53"/>
      <x:c r="E473" s="58"/>
      <x:c r="F473" s="58"/>
      <x:c r="G473" s="59"/>
      <x:c r="H473" s="59" t="n">
        <x:f>SUMIF(Purchases!$D:$D,B473,Purchases!$F:$F)</x:f>
        <x:v>0</x:v>
      </x:c>
      <x:c r="I473" s="59" t="n">
        <x:f>SUMIF(Sales!$D:$D,B473,Sales!$G:$G)</x:f>
        <x:v>0</x:v>
      </x:c>
      <x:c r="J473" s="59" t="n">
        <x:f>G473+H473-I473</x:f>
        <x:v>0</x:v>
      </x:c>
      <x:c r="K473" s="58" t="n">
        <x:f>J473*E473</x:f>
        <x:v>0</x:v>
      </x:c>
      <x:c r="L473" s="59"/>
      <x:c r="M473" s="53"/>
      <x:c r="N473" s="60" t="n">
        <x:f>IFERROR(MAXIFS(Purchases!$B:$B,Purchases!$D:$D,B473),"")</x:f>
        <x:v>0</x:v>
      </x:c>
      <x:c r="O473" s="50"/>
    </x:row>
    <x:row r="474">
      <x:c r="A474" s="53"/>
      <x:c r="B474" s="53"/>
      <x:c r="C474" s="53"/>
      <x:c r="D474" s="53"/>
      <x:c r="E474" s="58"/>
      <x:c r="F474" s="58"/>
      <x:c r="G474" s="59"/>
      <x:c r="H474" s="59" t="n">
        <x:f>SUMIF(Purchases!$D:$D,B474,Purchases!$F:$F)</x:f>
        <x:v>0</x:v>
      </x:c>
      <x:c r="I474" s="59" t="n">
        <x:f>SUMIF(Sales!$D:$D,B474,Sales!$G:$G)</x:f>
        <x:v>0</x:v>
      </x:c>
      <x:c r="J474" s="59" t="n">
        <x:f>G474+H474-I474</x:f>
        <x:v>0</x:v>
      </x:c>
      <x:c r="K474" s="58" t="n">
        <x:f>J474*E474</x:f>
        <x:v>0</x:v>
      </x:c>
      <x:c r="L474" s="59"/>
      <x:c r="M474" s="53"/>
      <x:c r="N474" s="60" t="n">
        <x:f>IFERROR(MAXIFS(Purchases!$B:$B,Purchases!$D:$D,B474),"")</x:f>
        <x:v>0</x:v>
      </x:c>
      <x:c r="O474" s="50"/>
    </x:row>
    <x:row r="475">
      <x:c r="A475" s="53"/>
      <x:c r="B475" s="53"/>
      <x:c r="C475" s="53"/>
      <x:c r="D475" s="53"/>
      <x:c r="E475" s="58"/>
      <x:c r="F475" s="58"/>
      <x:c r="G475" s="59"/>
      <x:c r="H475" s="59" t="n">
        <x:f>SUMIF(Purchases!$D:$D,B475,Purchases!$F:$F)</x:f>
        <x:v>0</x:v>
      </x:c>
      <x:c r="I475" s="59" t="n">
        <x:f>SUMIF(Sales!$D:$D,B475,Sales!$G:$G)</x:f>
        <x:v>0</x:v>
      </x:c>
      <x:c r="J475" s="59" t="n">
        <x:f>G475+H475-I475</x:f>
        <x:v>0</x:v>
      </x:c>
      <x:c r="K475" s="58" t="n">
        <x:f>J475*E475</x:f>
        <x:v>0</x:v>
      </x:c>
      <x:c r="L475" s="59"/>
      <x:c r="M475" s="53"/>
      <x:c r="N475" s="60" t="n">
        <x:f>IFERROR(MAXIFS(Purchases!$B:$B,Purchases!$D:$D,B475),"")</x:f>
        <x:v>0</x:v>
      </x:c>
      <x:c r="O475" s="50"/>
    </x:row>
    <x:row r="476">
      <x:c r="A476" s="53"/>
      <x:c r="B476" s="53"/>
      <x:c r="C476" s="53"/>
      <x:c r="D476" s="53"/>
      <x:c r="E476" s="58"/>
      <x:c r="F476" s="58"/>
      <x:c r="G476" s="59"/>
      <x:c r="H476" s="59" t="n">
        <x:f>SUMIF(Purchases!$D:$D,B476,Purchases!$F:$F)</x:f>
        <x:v>0</x:v>
      </x:c>
      <x:c r="I476" s="59" t="n">
        <x:f>SUMIF(Sales!$D:$D,B476,Sales!$G:$G)</x:f>
        <x:v>0</x:v>
      </x:c>
      <x:c r="J476" s="59" t="n">
        <x:f>G476+H476-I476</x:f>
        <x:v>0</x:v>
      </x:c>
      <x:c r="K476" s="58" t="n">
        <x:f>J476*E476</x:f>
        <x:v>0</x:v>
      </x:c>
      <x:c r="L476" s="59"/>
      <x:c r="M476" s="53"/>
      <x:c r="N476" s="60" t="n">
        <x:f>IFERROR(MAXIFS(Purchases!$B:$B,Purchases!$D:$D,B476),"")</x:f>
        <x:v>0</x:v>
      </x:c>
      <x:c r="O476" s="50"/>
    </x:row>
    <x:row r="477">
      <x:c r="A477" s="53"/>
      <x:c r="B477" s="53"/>
      <x:c r="C477" s="53"/>
      <x:c r="D477" s="53"/>
      <x:c r="E477" s="58"/>
      <x:c r="F477" s="58"/>
      <x:c r="G477" s="59"/>
      <x:c r="H477" s="59" t="n">
        <x:f>SUMIF(Purchases!$D:$D,B477,Purchases!$F:$F)</x:f>
        <x:v>0</x:v>
      </x:c>
      <x:c r="I477" s="59" t="n">
        <x:f>SUMIF(Sales!$D:$D,B477,Sales!$G:$G)</x:f>
        <x:v>0</x:v>
      </x:c>
      <x:c r="J477" s="59" t="n">
        <x:f>G477+H477-I477</x:f>
        <x:v>0</x:v>
      </x:c>
      <x:c r="K477" s="58" t="n">
        <x:f>J477*E477</x:f>
        <x:v>0</x:v>
      </x:c>
      <x:c r="L477" s="59"/>
      <x:c r="M477" s="53"/>
      <x:c r="N477" s="60" t="n">
        <x:f>IFERROR(MAXIFS(Purchases!$B:$B,Purchases!$D:$D,B477),"")</x:f>
        <x:v>0</x:v>
      </x:c>
      <x:c r="O477" s="50"/>
    </x:row>
    <x:row r="478">
      <x:c r="A478" s="53"/>
      <x:c r="B478" s="53"/>
      <x:c r="C478" s="53"/>
      <x:c r="D478" s="53"/>
      <x:c r="E478" s="58"/>
      <x:c r="F478" s="58"/>
      <x:c r="G478" s="59"/>
      <x:c r="H478" s="59" t="n">
        <x:f>SUMIF(Purchases!$D:$D,B478,Purchases!$F:$F)</x:f>
        <x:v>0</x:v>
      </x:c>
      <x:c r="I478" s="59" t="n">
        <x:f>SUMIF(Sales!$D:$D,B478,Sales!$G:$G)</x:f>
        <x:v>0</x:v>
      </x:c>
      <x:c r="J478" s="59" t="n">
        <x:f>G478+H478-I478</x:f>
        <x:v>0</x:v>
      </x:c>
      <x:c r="K478" s="58" t="n">
        <x:f>J478*E478</x:f>
        <x:v>0</x:v>
      </x:c>
      <x:c r="L478" s="59"/>
      <x:c r="M478" s="53"/>
      <x:c r="N478" s="60" t="n">
        <x:f>IFERROR(MAXIFS(Purchases!$B:$B,Purchases!$D:$D,B478),"")</x:f>
        <x:v>0</x:v>
      </x:c>
      <x:c r="O478" s="50"/>
    </x:row>
    <x:row r="479">
      <x:c r="A479" s="53"/>
      <x:c r="B479" s="53"/>
      <x:c r="C479" s="53"/>
      <x:c r="D479" s="53"/>
      <x:c r="E479" s="58"/>
      <x:c r="F479" s="58"/>
      <x:c r="G479" s="59"/>
      <x:c r="H479" s="59" t="n">
        <x:f>SUMIF(Purchases!$D:$D,B479,Purchases!$F:$F)</x:f>
        <x:v>0</x:v>
      </x:c>
      <x:c r="I479" s="59" t="n">
        <x:f>SUMIF(Sales!$D:$D,B479,Sales!$G:$G)</x:f>
        <x:v>0</x:v>
      </x:c>
      <x:c r="J479" s="59" t="n">
        <x:f>G479+H479-I479</x:f>
        <x:v>0</x:v>
      </x:c>
      <x:c r="K479" s="58" t="n">
        <x:f>J479*E479</x:f>
        <x:v>0</x:v>
      </x:c>
      <x:c r="L479" s="59"/>
      <x:c r="M479" s="53"/>
      <x:c r="N479" s="60" t="n">
        <x:f>IFERROR(MAXIFS(Purchases!$B:$B,Purchases!$D:$D,B479),"")</x:f>
        <x:v>0</x:v>
      </x:c>
      <x:c r="O479" s="50"/>
    </x:row>
    <x:row r="480">
      <x:c r="A480" s="53"/>
      <x:c r="B480" s="53"/>
      <x:c r="C480" s="53"/>
      <x:c r="D480" s="53"/>
      <x:c r="E480" s="58"/>
      <x:c r="F480" s="58"/>
      <x:c r="G480" s="59"/>
      <x:c r="H480" s="59" t="n">
        <x:f>SUMIF(Purchases!$D:$D,B480,Purchases!$F:$F)</x:f>
        <x:v>0</x:v>
      </x:c>
      <x:c r="I480" s="59" t="n">
        <x:f>SUMIF(Sales!$D:$D,B480,Sales!$G:$G)</x:f>
        <x:v>0</x:v>
      </x:c>
      <x:c r="J480" s="59" t="n">
        <x:f>G480+H480-I480</x:f>
        <x:v>0</x:v>
      </x:c>
      <x:c r="K480" s="58" t="n">
        <x:f>J480*E480</x:f>
        <x:v>0</x:v>
      </x:c>
      <x:c r="L480" s="59"/>
      <x:c r="M480" s="53"/>
      <x:c r="N480" s="60" t="n">
        <x:f>IFERROR(MAXIFS(Purchases!$B:$B,Purchases!$D:$D,B480),"")</x:f>
        <x:v>0</x:v>
      </x:c>
      <x:c r="O480" s="50"/>
    </x:row>
    <x:row r="481">
      <x:c r="A481" s="53"/>
      <x:c r="B481" s="53"/>
      <x:c r="C481" s="53"/>
      <x:c r="D481" s="53"/>
      <x:c r="E481" s="58"/>
      <x:c r="F481" s="58"/>
      <x:c r="G481" s="59"/>
      <x:c r="H481" s="59" t="n">
        <x:f>SUMIF(Purchases!$D:$D,B481,Purchases!$F:$F)</x:f>
        <x:v>0</x:v>
      </x:c>
      <x:c r="I481" s="59" t="n">
        <x:f>SUMIF(Sales!$D:$D,B481,Sales!$G:$G)</x:f>
        <x:v>0</x:v>
      </x:c>
      <x:c r="J481" s="59" t="n">
        <x:f>G481+H481-I481</x:f>
        <x:v>0</x:v>
      </x:c>
      <x:c r="K481" s="58" t="n">
        <x:f>J481*E481</x:f>
        <x:v>0</x:v>
      </x:c>
      <x:c r="L481" s="59"/>
      <x:c r="M481" s="53"/>
      <x:c r="N481" s="60" t="n">
        <x:f>IFERROR(MAXIFS(Purchases!$B:$B,Purchases!$D:$D,B481),"")</x:f>
        <x:v>0</x:v>
      </x:c>
      <x:c r="O481" s="50"/>
    </x:row>
    <x:row r="482">
      <x:c r="A482" s="53"/>
      <x:c r="B482" s="53"/>
      <x:c r="C482" s="53"/>
      <x:c r="D482" s="53"/>
      <x:c r="E482" s="58"/>
      <x:c r="F482" s="58"/>
      <x:c r="G482" s="59"/>
      <x:c r="H482" s="59" t="n">
        <x:f>SUMIF(Purchases!$D:$D,B482,Purchases!$F:$F)</x:f>
        <x:v>0</x:v>
      </x:c>
      <x:c r="I482" s="59" t="n">
        <x:f>SUMIF(Sales!$D:$D,B482,Sales!$G:$G)</x:f>
        <x:v>0</x:v>
      </x:c>
      <x:c r="J482" s="59" t="n">
        <x:f>G482+H482-I482</x:f>
        <x:v>0</x:v>
      </x:c>
      <x:c r="K482" s="58" t="n">
        <x:f>J482*E482</x:f>
        <x:v>0</x:v>
      </x:c>
      <x:c r="L482" s="59"/>
      <x:c r="M482" s="53"/>
      <x:c r="N482" s="60" t="n">
        <x:f>IFERROR(MAXIFS(Purchases!$B:$B,Purchases!$D:$D,B482),"")</x:f>
        <x:v>0</x:v>
      </x:c>
      <x:c r="O482" s="50"/>
    </x:row>
    <x:row r="483">
      <x:c r="A483" s="53"/>
      <x:c r="B483" s="53"/>
      <x:c r="C483" s="53"/>
      <x:c r="D483" s="53"/>
      <x:c r="E483" s="58"/>
      <x:c r="F483" s="58"/>
      <x:c r="G483" s="59"/>
      <x:c r="H483" s="59" t="n">
        <x:f>SUMIF(Purchases!$D:$D,B483,Purchases!$F:$F)</x:f>
        <x:v>0</x:v>
      </x:c>
      <x:c r="I483" s="59" t="n">
        <x:f>SUMIF(Sales!$D:$D,B483,Sales!$G:$G)</x:f>
        <x:v>0</x:v>
      </x:c>
      <x:c r="J483" s="59" t="n">
        <x:f>G483+H483-I483</x:f>
        <x:v>0</x:v>
      </x:c>
      <x:c r="K483" s="58" t="n">
        <x:f>J483*E483</x:f>
        <x:v>0</x:v>
      </x:c>
      <x:c r="L483" s="59"/>
      <x:c r="M483" s="53"/>
      <x:c r="N483" s="60" t="n">
        <x:f>IFERROR(MAXIFS(Purchases!$B:$B,Purchases!$D:$D,B483),"")</x:f>
        <x:v>0</x:v>
      </x:c>
      <x:c r="O483" s="50"/>
    </x:row>
    <x:row r="484">
      <x:c r="A484" s="53"/>
      <x:c r="B484" s="53"/>
      <x:c r="C484" s="53"/>
      <x:c r="D484" s="53"/>
      <x:c r="E484" s="58"/>
      <x:c r="F484" s="58"/>
      <x:c r="G484" s="59"/>
      <x:c r="H484" s="59" t="n">
        <x:f>SUMIF(Purchases!$D:$D,B484,Purchases!$F:$F)</x:f>
        <x:v>0</x:v>
      </x:c>
      <x:c r="I484" s="59" t="n">
        <x:f>SUMIF(Sales!$D:$D,B484,Sales!$G:$G)</x:f>
        <x:v>0</x:v>
      </x:c>
      <x:c r="J484" s="59" t="n">
        <x:f>G484+H484-I484</x:f>
        <x:v>0</x:v>
      </x:c>
      <x:c r="K484" s="58" t="n">
        <x:f>J484*E484</x:f>
        <x:v>0</x:v>
      </x:c>
      <x:c r="L484" s="59"/>
      <x:c r="M484" s="53"/>
      <x:c r="N484" s="60" t="n">
        <x:f>IFERROR(MAXIFS(Purchases!$B:$B,Purchases!$D:$D,B484),"")</x:f>
        <x:v>0</x:v>
      </x:c>
      <x:c r="O484" s="50"/>
    </x:row>
    <x:row r="485">
      <x:c r="A485" s="53"/>
      <x:c r="B485" s="53"/>
      <x:c r="C485" s="53"/>
      <x:c r="D485" s="53"/>
      <x:c r="E485" s="58"/>
      <x:c r="F485" s="58"/>
      <x:c r="G485" s="59"/>
      <x:c r="H485" s="59" t="n">
        <x:f>SUMIF(Purchases!$D:$D,B485,Purchases!$F:$F)</x:f>
        <x:v>0</x:v>
      </x:c>
      <x:c r="I485" s="59" t="n">
        <x:f>SUMIF(Sales!$D:$D,B485,Sales!$G:$G)</x:f>
        <x:v>0</x:v>
      </x:c>
      <x:c r="J485" s="59" t="n">
        <x:f>G485+H485-I485</x:f>
        <x:v>0</x:v>
      </x:c>
      <x:c r="K485" s="58" t="n">
        <x:f>J485*E485</x:f>
        <x:v>0</x:v>
      </x:c>
      <x:c r="L485" s="59"/>
      <x:c r="M485" s="53"/>
      <x:c r="N485" s="60" t="n">
        <x:f>IFERROR(MAXIFS(Purchases!$B:$B,Purchases!$D:$D,B485),"")</x:f>
        <x:v>0</x:v>
      </x:c>
      <x:c r="O485" s="50"/>
    </x:row>
    <x:row r="486">
      <x:c r="A486" s="53"/>
      <x:c r="B486" s="53"/>
      <x:c r="C486" s="53"/>
      <x:c r="D486" s="53"/>
      <x:c r="E486" s="58"/>
      <x:c r="F486" s="58"/>
      <x:c r="G486" s="59"/>
      <x:c r="H486" s="59" t="n">
        <x:f>SUMIF(Purchases!$D:$D,B486,Purchases!$F:$F)</x:f>
        <x:v>0</x:v>
      </x:c>
      <x:c r="I486" s="59" t="n">
        <x:f>SUMIF(Sales!$D:$D,B486,Sales!$G:$G)</x:f>
        <x:v>0</x:v>
      </x:c>
      <x:c r="J486" s="59" t="n">
        <x:f>G486+H486-I486</x:f>
        <x:v>0</x:v>
      </x:c>
      <x:c r="K486" s="58" t="n">
        <x:f>J486*E486</x:f>
        <x:v>0</x:v>
      </x:c>
      <x:c r="L486" s="59"/>
      <x:c r="M486" s="53"/>
      <x:c r="N486" s="60" t="n">
        <x:f>IFERROR(MAXIFS(Purchases!$B:$B,Purchases!$D:$D,B486),"")</x:f>
        <x:v>0</x:v>
      </x:c>
      <x:c r="O486" s="50"/>
    </x:row>
    <x:row r="487">
      <x:c r="A487" s="53"/>
      <x:c r="B487" s="53"/>
      <x:c r="C487" s="53"/>
      <x:c r="D487" s="53"/>
      <x:c r="E487" s="58"/>
      <x:c r="F487" s="58"/>
      <x:c r="G487" s="59"/>
      <x:c r="H487" s="59" t="n">
        <x:f>SUMIF(Purchases!$D:$D,B487,Purchases!$F:$F)</x:f>
        <x:v>0</x:v>
      </x:c>
      <x:c r="I487" s="59" t="n">
        <x:f>SUMIF(Sales!$D:$D,B487,Sales!$G:$G)</x:f>
        <x:v>0</x:v>
      </x:c>
      <x:c r="J487" s="59" t="n">
        <x:f>G487+H487-I487</x:f>
        <x:v>0</x:v>
      </x:c>
      <x:c r="K487" s="58" t="n">
        <x:f>J487*E487</x:f>
        <x:v>0</x:v>
      </x:c>
      <x:c r="L487" s="59"/>
      <x:c r="M487" s="53"/>
      <x:c r="N487" s="60" t="n">
        <x:f>IFERROR(MAXIFS(Purchases!$B:$B,Purchases!$D:$D,B487),"")</x:f>
        <x:v>0</x:v>
      </x:c>
      <x:c r="O487" s="50"/>
    </x:row>
    <x:row r="488">
      <x:c r="A488" s="53"/>
      <x:c r="B488" s="53"/>
      <x:c r="C488" s="53"/>
      <x:c r="D488" s="53"/>
      <x:c r="E488" s="58"/>
      <x:c r="F488" s="58"/>
      <x:c r="G488" s="59"/>
      <x:c r="H488" s="59" t="n">
        <x:f>SUMIF(Purchases!$D:$D,B488,Purchases!$F:$F)</x:f>
        <x:v>0</x:v>
      </x:c>
      <x:c r="I488" s="59" t="n">
        <x:f>SUMIF(Sales!$D:$D,B488,Sales!$G:$G)</x:f>
        <x:v>0</x:v>
      </x:c>
      <x:c r="J488" s="59" t="n">
        <x:f>G488+H488-I488</x:f>
        <x:v>0</x:v>
      </x:c>
      <x:c r="K488" s="58" t="n">
        <x:f>J488*E488</x:f>
        <x:v>0</x:v>
      </x:c>
      <x:c r="L488" s="59"/>
      <x:c r="M488" s="53"/>
      <x:c r="N488" s="60" t="n">
        <x:f>IFERROR(MAXIFS(Purchases!$B:$B,Purchases!$D:$D,B488),"")</x:f>
        <x:v>0</x:v>
      </x:c>
      <x:c r="O488" s="50"/>
    </x:row>
    <x:row r="489">
      <x:c r="A489" s="53"/>
      <x:c r="B489" s="53"/>
      <x:c r="C489" s="53"/>
      <x:c r="D489" s="53"/>
      <x:c r="E489" s="58"/>
      <x:c r="F489" s="58"/>
      <x:c r="G489" s="59"/>
      <x:c r="H489" s="59" t="n">
        <x:f>SUMIF(Purchases!$D:$D,B489,Purchases!$F:$F)</x:f>
        <x:v>0</x:v>
      </x:c>
      <x:c r="I489" s="59" t="n">
        <x:f>SUMIF(Sales!$D:$D,B489,Sales!$G:$G)</x:f>
        <x:v>0</x:v>
      </x:c>
      <x:c r="J489" s="59" t="n">
        <x:f>G489+H489-I489</x:f>
        <x:v>0</x:v>
      </x:c>
      <x:c r="K489" s="58" t="n">
        <x:f>J489*E489</x:f>
        <x:v>0</x:v>
      </x:c>
      <x:c r="L489" s="59"/>
      <x:c r="M489" s="53"/>
      <x:c r="N489" s="60" t="n">
        <x:f>IFERROR(MAXIFS(Purchases!$B:$B,Purchases!$D:$D,B489),"")</x:f>
        <x:v>0</x:v>
      </x:c>
      <x:c r="O489" s="50"/>
    </x:row>
    <x:row r="490">
      <x:c r="A490" s="53"/>
      <x:c r="B490" s="53"/>
      <x:c r="C490" s="53"/>
      <x:c r="D490" s="53"/>
      <x:c r="E490" s="58"/>
      <x:c r="F490" s="58"/>
      <x:c r="G490" s="59"/>
      <x:c r="H490" s="59" t="n">
        <x:f>SUMIF(Purchases!$D:$D,B490,Purchases!$F:$F)</x:f>
        <x:v>0</x:v>
      </x:c>
      <x:c r="I490" s="59" t="n">
        <x:f>SUMIF(Sales!$D:$D,B490,Sales!$G:$G)</x:f>
        <x:v>0</x:v>
      </x:c>
      <x:c r="J490" s="59" t="n">
        <x:f>G490+H490-I490</x:f>
        <x:v>0</x:v>
      </x:c>
      <x:c r="K490" s="58" t="n">
        <x:f>J490*E490</x:f>
        <x:v>0</x:v>
      </x:c>
      <x:c r="L490" s="59"/>
      <x:c r="M490" s="53"/>
      <x:c r="N490" s="60" t="n">
        <x:f>IFERROR(MAXIFS(Purchases!$B:$B,Purchases!$D:$D,B490),"")</x:f>
        <x:v>0</x:v>
      </x:c>
      <x:c r="O490" s="50"/>
    </x:row>
    <x:row r="491">
      <x:c r="A491" s="53"/>
      <x:c r="B491" s="53"/>
      <x:c r="C491" s="53"/>
      <x:c r="D491" s="53"/>
      <x:c r="E491" s="58"/>
      <x:c r="F491" s="58"/>
      <x:c r="G491" s="59"/>
      <x:c r="H491" s="59" t="n">
        <x:f>SUMIF(Purchases!$D:$D,B491,Purchases!$F:$F)</x:f>
        <x:v>0</x:v>
      </x:c>
      <x:c r="I491" s="59" t="n">
        <x:f>SUMIF(Sales!$D:$D,B491,Sales!$G:$G)</x:f>
        <x:v>0</x:v>
      </x:c>
      <x:c r="J491" s="59" t="n">
        <x:f>G491+H491-I491</x:f>
        <x:v>0</x:v>
      </x:c>
      <x:c r="K491" s="58" t="n">
        <x:f>J491*E491</x:f>
        <x:v>0</x:v>
      </x:c>
      <x:c r="L491" s="59"/>
      <x:c r="M491" s="53"/>
      <x:c r="N491" s="60" t="n">
        <x:f>IFERROR(MAXIFS(Purchases!$B:$B,Purchases!$D:$D,B491),"")</x:f>
        <x:v>0</x:v>
      </x:c>
      <x:c r="O491" s="50"/>
    </x:row>
    <x:row r="492">
      <x:c r="A492" s="53"/>
      <x:c r="B492" s="53"/>
      <x:c r="C492" s="53"/>
      <x:c r="D492" s="53"/>
      <x:c r="E492" s="58"/>
      <x:c r="F492" s="58"/>
      <x:c r="G492" s="59"/>
      <x:c r="H492" s="59" t="n">
        <x:f>SUMIF(Purchases!$D:$D,B492,Purchases!$F:$F)</x:f>
        <x:v>0</x:v>
      </x:c>
      <x:c r="I492" s="59" t="n">
        <x:f>SUMIF(Sales!$D:$D,B492,Sales!$G:$G)</x:f>
        <x:v>0</x:v>
      </x:c>
      <x:c r="J492" s="59" t="n">
        <x:f>G492+H492-I492</x:f>
        <x:v>0</x:v>
      </x:c>
      <x:c r="K492" s="58" t="n">
        <x:f>J492*E492</x:f>
        <x:v>0</x:v>
      </x:c>
      <x:c r="L492" s="59"/>
      <x:c r="M492" s="53"/>
      <x:c r="N492" s="60" t="n">
        <x:f>IFERROR(MAXIFS(Purchases!$B:$B,Purchases!$D:$D,B492),"")</x:f>
        <x:v>0</x:v>
      </x:c>
      <x:c r="O492" s="50"/>
    </x:row>
    <x:row r="493">
      <x:c r="A493" s="53"/>
      <x:c r="B493" s="53"/>
      <x:c r="C493" s="53"/>
      <x:c r="D493" s="53"/>
      <x:c r="E493" s="58"/>
      <x:c r="F493" s="58"/>
      <x:c r="G493" s="59"/>
      <x:c r="H493" s="59" t="n">
        <x:f>SUMIF(Purchases!$D:$D,B493,Purchases!$F:$F)</x:f>
        <x:v>0</x:v>
      </x:c>
      <x:c r="I493" s="59" t="n">
        <x:f>SUMIF(Sales!$D:$D,B493,Sales!$G:$G)</x:f>
        <x:v>0</x:v>
      </x:c>
      <x:c r="J493" s="59" t="n">
        <x:f>G493+H493-I493</x:f>
        <x:v>0</x:v>
      </x:c>
      <x:c r="K493" s="58" t="n">
        <x:f>J493*E493</x:f>
        <x:v>0</x:v>
      </x:c>
      <x:c r="L493" s="59"/>
      <x:c r="M493" s="53"/>
      <x:c r="N493" s="60" t="n">
        <x:f>IFERROR(MAXIFS(Purchases!$B:$B,Purchases!$D:$D,B493),"")</x:f>
        <x:v>0</x:v>
      </x:c>
      <x:c r="O493" s="50"/>
    </x:row>
    <x:row r="494">
      <x:c r="A494" s="53"/>
      <x:c r="B494" s="53"/>
      <x:c r="C494" s="53"/>
      <x:c r="D494" s="53"/>
      <x:c r="E494" s="58"/>
      <x:c r="F494" s="58"/>
      <x:c r="G494" s="59"/>
      <x:c r="H494" s="59" t="n">
        <x:f>SUMIF(Purchases!$D:$D,B494,Purchases!$F:$F)</x:f>
        <x:v>0</x:v>
      </x:c>
      <x:c r="I494" s="59" t="n">
        <x:f>SUMIF(Sales!$D:$D,B494,Sales!$G:$G)</x:f>
        <x:v>0</x:v>
      </x:c>
      <x:c r="J494" s="59" t="n">
        <x:f>G494+H494-I494</x:f>
        <x:v>0</x:v>
      </x:c>
      <x:c r="K494" s="58" t="n">
        <x:f>J494*E494</x:f>
        <x:v>0</x:v>
      </x:c>
      <x:c r="L494" s="59"/>
      <x:c r="M494" s="53"/>
      <x:c r="N494" s="60" t="n">
        <x:f>IFERROR(MAXIFS(Purchases!$B:$B,Purchases!$D:$D,B494),"")</x:f>
        <x:v>0</x:v>
      </x:c>
      <x:c r="O494" s="50"/>
    </x:row>
    <x:row r="495">
      <x:c r="A495" s="53"/>
      <x:c r="B495" s="53"/>
      <x:c r="C495" s="53"/>
      <x:c r="D495" s="53"/>
      <x:c r="E495" s="58"/>
      <x:c r="F495" s="58"/>
      <x:c r="G495" s="59"/>
      <x:c r="H495" s="59" t="n">
        <x:f>SUMIF(Purchases!$D:$D,B495,Purchases!$F:$F)</x:f>
        <x:v>0</x:v>
      </x:c>
      <x:c r="I495" s="59" t="n">
        <x:f>SUMIF(Sales!$D:$D,B495,Sales!$G:$G)</x:f>
        <x:v>0</x:v>
      </x:c>
      <x:c r="J495" s="59" t="n">
        <x:f>G495+H495-I495</x:f>
        <x:v>0</x:v>
      </x:c>
      <x:c r="K495" s="58" t="n">
        <x:f>J495*E495</x:f>
        <x:v>0</x:v>
      </x:c>
      <x:c r="L495" s="59"/>
      <x:c r="M495" s="53"/>
      <x:c r="N495" s="60" t="n">
        <x:f>IFERROR(MAXIFS(Purchases!$B:$B,Purchases!$D:$D,B495),"")</x:f>
        <x:v>0</x:v>
      </x:c>
      <x:c r="O495" s="50"/>
    </x:row>
    <x:row r="496">
      <x:c r="A496" s="53"/>
      <x:c r="B496" s="53"/>
      <x:c r="C496" s="53"/>
      <x:c r="D496" s="53"/>
      <x:c r="E496" s="58"/>
      <x:c r="F496" s="58"/>
      <x:c r="G496" s="59"/>
      <x:c r="H496" s="59" t="n">
        <x:f>SUMIF(Purchases!$D:$D,B496,Purchases!$F:$F)</x:f>
        <x:v>0</x:v>
      </x:c>
      <x:c r="I496" s="59" t="n">
        <x:f>SUMIF(Sales!$D:$D,B496,Sales!$G:$G)</x:f>
        <x:v>0</x:v>
      </x:c>
      <x:c r="J496" s="59" t="n">
        <x:f>G496+H496-I496</x:f>
        <x:v>0</x:v>
      </x:c>
      <x:c r="K496" s="58" t="n">
        <x:f>J496*E496</x:f>
        <x:v>0</x:v>
      </x:c>
      <x:c r="L496" s="59"/>
      <x:c r="M496" s="53"/>
      <x:c r="N496" s="60" t="n">
        <x:f>IFERROR(MAXIFS(Purchases!$B:$B,Purchases!$D:$D,B496),"")</x:f>
        <x:v>0</x:v>
      </x:c>
      <x:c r="O496" s="50"/>
    </x:row>
    <x:row r="497">
      <x:c r="A497" s="53"/>
      <x:c r="B497" s="53"/>
      <x:c r="C497" s="53"/>
      <x:c r="D497" s="53"/>
      <x:c r="E497" s="58"/>
      <x:c r="F497" s="58"/>
      <x:c r="G497" s="59"/>
      <x:c r="H497" s="59" t="n">
        <x:f>SUMIF(Purchases!$D:$D,B497,Purchases!$F:$F)</x:f>
        <x:v>0</x:v>
      </x:c>
      <x:c r="I497" s="59" t="n">
        <x:f>SUMIF(Sales!$D:$D,B497,Sales!$G:$G)</x:f>
        <x:v>0</x:v>
      </x:c>
      <x:c r="J497" s="59" t="n">
        <x:f>G497+H497-I497</x:f>
        <x:v>0</x:v>
      </x:c>
      <x:c r="K497" s="58" t="n">
        <x:f>J497*E497</x:f>
        <x:v>0</x:v>
      </x:c>
      <x:c r="L497" s="59"/>
      <x:c r="M497" s="53"/>
      <x:c r="N497" s="60" t="n">
        <x:f>IFERROR(MAXIFS(Purchases!$B:$B,Purchases!$D:$D,B497),"")</x:f>
        <x:v>0</x:v>
      </x:c>
      <x:c r="O497" s="50"/>
    </x:row>
    <x:row r="498">
      <x:c r="A498" s="53"/>
      <x:c r="B498" s="53"/>
      <x:c r="C498" s="53"/>
      <x:c r="D498" s="53"/>
      <x:c r="E498" s="58"/>
      <x:c r="F498" s="58"/>
      <x:c r="G498" s="59"/>
      <x:c r="H498" s="59" t="n">
        <x:f>SUMIF(Purchases!$D:$D,B498,Purchases!$F:$F)</x:f>
        <x:v>0</x:v>
      </x:c>
      <x:c r="I498" s="59" t="n">
        <x:f>SUMIF(Sales!$D:$D,B498,Sales!$G:$G)</x:f>
        <x:v>0</x:v>
      </x:c>
      <x:c r="J498" s="59" t="n">
        <x:f>G498+H498-I498</x:f>
        <x:v>0</x:v>
      </x:c>
      <x:c r="K498" s="58" t="n">
        <x:f>J498*E498</x:f>
        <x:v>0</x:v>
      </x:c>
      <x:c r="L498" s="59"/>
      <x:c r="M498" s="53"/>
      <x:c r="N498" s="60" t="n">
        <x:f>IFERROR(MAXIFS(Purchases!$B:$B,Purchases!$D:$D,B498),"")</x:f>
        <x:v>0</x:v>
      </x:c>
      <x:c r="O498" s="50"/>
    </x:row>
    <x:row r="499">
      <x:c r="A499" s="53"/>
      <x:c r="B499" s="53"/>
      <x:c r="C499" s="53"/>
      <x:c r="D499" s="53"/>
      <x:c r="E499" s="58"/>
      <x:c r="F499" s="58"/>
      <x:c r="G499" s="59"/>
      <x:c r="H499" s="59" t="n">
        <x:f>SUMIF(Purchases!$D:$D,B499,Purchases!$F:$F)</x:f>
        <x:v>0</x:v>
      </x:c>
      <x:c r="I499" s="59" t="n">
        <x:f>SUMIF(Sales!$D:$D,B499,Sales!$G:$G)</x:f>
        <x:v>0</x:v>
      </x:c>
      <x:c r="J499" s="59" t="n">
        <x:f>G499+H499-I499</x:f>
        <x:v>0</x:v>
      </x:c>
      <x:c r="K499" s="58" t="n">
        <x:f>J499*E499</x:f>
        <x:v>0</x:v>
      </x:c>
      <x:c r="L499" s="59"/>
      <x:c r="M499" s="53"/>
      <x:c r="N499" s="60" t="n">
        <x:f>IFERROR(MAXIFS(Purchases!$B:$B,Purchases!$D:$D,B499),"")</x:f>
        <x:v>0</x:v>
      </x:c>
      <x:c r="O499" s="50"/>
    </x:row>
    <x:row r="500">
      <x:c r="A500" s="53"/>
      <x:c r="B500" s="53"/>
      <x:c r="C500" s="53"/>
      <x:c r="D500" s="53"/>
      <x:c r="E500" s="58"/>
      <x:c r="F500" s="58"/>
      <x:c r="G500" s="59"/>
      <x:c r="H500" s="59" t="n">
        <x:f>SUMIF(Purchases!$D:$D,B500,Purchases!$F:$F)</x:f>
        <x:v>0</x:v>
      </x:c>
      <x:c r="I500" s="59" t="n">
        <x:f>SUMIF(Sales!$D:$D,B500,Sales!$G:$G)</x:f>
        <x:v>0</x:v>
      </x:c>
      <x:c r="J500" s="59" t="n">
        <x:f>G500+H500-I500</x:f>
        <x:v>0</x:v>
      </x:c>
      <x:c r="K500" s="58" t="n">
        <x:f>J500*E500</x:f>
        <x:v>0</x:v>
      </x:c>
      <x:c r="L500" s="59"/>
      <x:c r="M500" s="53"/>
      <x:c r="N500" s="60" t="n">
        <x:f>IFERROR(MAXIFS(Purchases!$B:$B,Purchases!$D:$D,B500),"")</x:f>
        <x:v>0</x:v>
      </x:c>
      <x:c r="O500" s="50"/>
    </x:row>
  </x:sheetData>
  <x:mergeCells>
    <x:mergeCell ref="A1:N1"/>
  </x:mergeCells>
  <x:conditionalFormatting sqref="J4:J500">
    <x:cfRule type="expression" dxfId="0" priority="1">
      <x:formula>AND($B4&lt;&gt;"",$J4&lt;=$L4)</x:formula>
    </x:cfRule>
  </x:conditionalFormatting>
  <x:dataValidations count="2">
    <x:dataValidation type="list" sqref="D4:D500">
      <x:formula1>Lists!$B$2:$B$4</x:formula1>
    </x:dataValidation>
    <x:dataValidation type="list" sqref="M4:M500">
      <x:formula1>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35a1cfeb943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15" t="str">
        <x:v>Purchase History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4" customHeight="1">
      <x:c r="A3" s="6" t="str">
        <x:v>Purchase ID</x:v>
      </x:c>
      <x:c r="B3" s="6" t="str">
        <x:v>Date</x:v>
      </x:c>
      <x:c r="C3" s="6" t="str">
        <x:v>Supplier</x:v>
      </x:c>
      <x:c r="D3" s="6" t="str">
        <x:v>Item Code</x:v>
      </x:c>
      <x:c r="E3" s="6" t="str">
        <x:v>Stock Name</x:v>
      </x:c>
      <x:c r="F3" s="6" t="str">
        <x:v>Qty Purchased</x:v>
      </x:c>
      <x:c r="G3" s="6" t="str">
        <x:v>Purchase Price</x:v>
      </x:c>
      <x:c r="H3" s="6" t="str">
        <x:v>Total Cost</x:v>
      </x:c>
      <x:c r="I3" s="6" t="str">
        <x:v>Remarks</x:v>
      </x:c>
      <x:c r="J3" s="50"/>
      <x:c r="K3" s="50"/>
      <x:c r="L3" s="50"/>
      <x:c r="M3" s="50"/>
      <x:c r="N3" s="50"/>
      <x:c r="O3" s="50"/>
    </x:row>
    <x:row r="4">
      <x:c r="A4" s="50" t="str">
        <x:v>PUR001</x:v>
      </x:c>
      <x:c r="B4" s="64" t="n">
        <x:v>46194</x:v>
      </x:c>
      <x:c r="C4" s="50" t="str">
        <x:v>Supplier A</x:v>
      </x:c>
      <x:c r="D4" s="50" t="str">
        <x:v>PLT001</x:v>
      </x:c>
      <x:c r="E4" s="50" t="str">
        <x:f>IFERROR(VLOOKUP(D4,Inventory!$B:$C,2,FALSE),"")</x:f>
        <x:v>Printing Plate 12x18</x:v>
      </x:c>
      <x:c r="F4" s="65" t="n">
        <x:v>0</x:v>
      </x:c>
      <x:c r="G4" s="66" t="n">
        <x:v>0</x:v>
      </x:c>
      <x:c r="H4" s="66" t="n">
        <x:f>F4*G4</x:f>
        <x:v>0</x:v>
      </x:c>
      <x:c r="I4" s="50" t="str"/>
      <x:c r="J4" s="50"/>
      <x:c r="K4" s="50"/>
      <x:c r="L4" s="50"/>
      <x:c r="M4" s="50"/>
      <x:c r="N4" s="50"/>
      <x:c r="O4" s="50"/>
    </x:row>
    <x:row r="5">
      <x:c r="A5" s="50" t="str">
        <x:v>PUR002</x:v>
      </x:c>
      <x:c r="B5" s="64" t="n">
        <x:v>46194</x:v>
      </x:c>
      <x:c r="C5" s="50" t="str">
        <x:v>Supplier A</x:v>
      </x:c>
      <x:c r="D5" s="50" t="str">
        <x:v>PLT002</x:v>
      </x:c>
      <x:c r="E5" s="50" t="str">
        <x:f>IFERROR(VLOOKUP(D5,Inventory!$B:$C,2,FALSE),"")</x:f>
        <x:v>Printing Plate 18x24</x:v>
      </x:c>
      <x:c r="F5" s="65" t="n">
        <x:v>0</x:v>
      </x:c>
      <x:c r="G5" s="66" t="n">
        <x:v>0</x:v>
      </x:c>
      <x:c r="H5" s="66" t="n">
        <x:f>F5*G5</x:f>
        <x:v>0</x:v>
      </x:c>
      <x:c r="I5" s="50" t="str"/>
      <x:c r="J5" s="50"/>
      <x:c r="K5" s="50"/>
      <x:c r="L5" s="50"/>
      <x:c r="M5" s="50"/>
      <x:c r="N5" s="50"/>
      <x:c r="O5" s="50"/>
    </x:row>
    <x:row r="6">
      <x:c r="A6" s="50" t="str">
        <x:v>PUR003</x:v>
      </x:c>
      <x:c r="B6" s="64" t="n">
        <x:v>46194</x:v>
      </x:c>
      <x:c r="C6" s="50" t="str">
        <x:v>Supplier A</x:v>
      </x:c>
      <x:c r="D6" s="50" t="str">
        <x:v>PLT003</x:v>
      </x:c>
      <x:c r="E6" s="50" t="str">
        <x:f>IFERROR(VLOOKUP(D6,Inventory!$B:$C,2,FALSE),"")</x:f>
        <x:v>Printing Plate 20x30</x:v>
      </x:c>
      <x:c r="F6" s="65" t="n">
        <x:v>0</x:v>
      </x:c>
      <x:c r="G6" s="66" t="n">
        <x:v>0</x:v>
      </x:c>
      <x:c r="H6" s="66" t="n">
        <x:f>F6*G6</x:f>
        <x:v>0</x:v>
      </x:c>
      <x:c r="I6" s="50" t="str"/>
      <x:c r="J6" s="50"/>
      <x:c r="K6" s="50"/>
      <x:c r="L6" s="50"/>
      <x:c r="M6" s="50"/>
      <x:c r="N6" s="50"/>
      <x:c r="O6" s="50"/>
    </x:row>
    <x:row r="7">
      <x:c r="A7" s="50"/>
      <x:c r="B7" s="64"/>
      <x:c r="C7" s="50"/>
      <x:c r="D7" s="50"/>
      <x:c r="E7" s="50" t="str">
        <x:f>IFERROR(VLOOKUP(D7,Inventory!$B:$C,2,FALSE),"")</x:f>
      </x:c>
      <x:c r="F7" s="65"/>
      <x:c r="G7" s="66"/>
      <x:c r="H7" s="66" t="n">
        <x:f>F7*G7</x:f>
        <x:v>0</x:v>
      </x:c>
      <x:c r="I7" s="50"/>
      <x:c r="J7" s="50"/>
      <x:c r="K7" s="50"/>
      <x:c r="L7" s="50"/>
      <x:c r="M7" s="50"/>
      <x:c r="N7" s="50"/>
      <x:c r="O7" s="50"/>
    </x:row>
    <x:row r="8">
      <x:c r="A8" s="50"/>
      <x:c r="B8" s="64"/>
      <x:c r="C8" s="50"/>
      <x:c r="D8" s="50"/>
      <x:c r="E8" s="50" t="str">
        <x:f>IFERROR(VLOOKUP(D8,Inventory!$B:$C,2,FALSE),"")</x:f>
      </x:c>
      <x:c r="F8" s="65"/>
      <x:c r="G8" s="66"/>
      <x:c r="H8" s="66" t="n">
        <x:f>F8*G8</x:f>
        <x:v>0</x:v>
      </x:c>
      <x:c r="I8" s="50"/>
      <x:c r="J8" s="50"/>
      <x:c r="K8" s="50"/>
      <x:c r="L8" s="50"/>
      <x:c r="M8" s="50"/>
      <x:c r="N8" s="50"/>
      <x:c r="O8" s="50"/>
    </x:row>
    <x:row r="9">
      <x:c r="A9" s="50"/>
      <x:c r="B9" s="64"/>
      <x:c r="C9" s="50"/>
      <x:c r="D9" s="50"/>
      <x:c r="E9" s="50" t="str">
        <x:f>IFERROR(VLOOKUP(D9,Inventory!$B:$C,2,FALSE),"")</x:f>
      </x:c>
      <x:c r="F9" s="65"/>
      <x:c r="G9" s="66"/>
      <x:c r="H9" s="66" t="n">
        <x:f>F9*G9</x:f>
        <x:v>0</x:v>
      </x:c>
      <x:c r="I9" s="50"/>
      <x:c r="J9" s="50"/>
      <x:c r="K9" s="50"/>
      <x:c r="L9" s="50"/>
      <x:c r="M9" s="50"/>
      <x:c r="N9" s="50"/>
      <x:c r="O9" s="50"/>
    </x:row>
    <x:row r="10">
      <x:c r="A10" s="50"/>
      <x:c r="B10" s="64"/>
      <x:c r="C10" s="50"/>
      <x:c r="D10" s="50"/>
      <x:c r="E10" s="50" t="str">
        <x:f>IFERROR(VLOOKUP(D10,Inventory!$B:$C,2,FALSE),"")</x:f>
      </x:c>
      <x:c r="F10" s="65"/>
      <x:c r="G10" s="66"/>
      <x:c r="H10" s="66" t="n">
        <x:f>F10*G10</x:f>
        <x:v>0</x:v>
      </x:c>
      <x:c r="I10" s="50"/>
      <x:c r="J10" s="50"/>
      <x:c r="K10" s="50"/>
      <x:c r="L10" s="50"/>
      <x:c r="M10" s="50"/>
      <x:c r="N10" s="50"/>
      <x:c r="O10" s="50"/>
    </x:row>
    <x:row r="11">
      <x:c r="A11" s="50"/>
      <x:c r="B11" s="64"/>
      <x:c r="C11" s="50"/>
      <x:c r="D11" s="50"/>
      <x:c r="E11" s="50" t="str">
        <x:f>IFERROR(VLOOKUP(D11,Inventory!$B:$C,2,FALSE),"")</x:f>
      </x:c>
      <x:c r="F11" s="65"/>
      <x:c r="G11" s="66"/>
      <x:c r="H11" s="66" t="n">
        <x:f>F11*G11</x:f>
        <x:v>0</x:v>
      </x:c>
      <x:c r="I11" s="50"/>
      <x:c r="J11" s="50"/>
      <x:c r="K11" s="50"/>
      <x:c r="L11" s="50"/>
      <x:c r="M11" s="50"/>
      <x:c r="N11" s="50"/>
      <x:c r="O11" s="50"/>
    </x:row>
    <x:row r="12">
      <x:c r="A12" s="50"/>
      <x:c r="B12" s="64"/>
      <x:c r="C12" s="50"/>
      <x:c r="D12" s="50"/>
      <x:c r="E12" s="50" t="str">
        <x:f>IFERROR(VLOOKUP(D12,Inventory!$B:$C,2,FALSE),"")</x:f>
      </x:c>
      <x:c r="F12" s="65"/>
      <x:c r="G12" s="66"/>
      <x:c r="H12" s="66" t="n">
        <x:f>F12*G12</x:f>
        <x:v>0</x:v>
      </x:c>
      <x:c r="I12" s="50"/>
      <x:c r="J12" s="50"/>
      <x:c r="K12" s="50"/>
      <x:c r="L12" s="50"/>
      <x:c r="M12" s="50"/>
      <x:c r="N12" s="50"/>
      <x:c r="O12" s="50"/>
    </x:row>
    <x:row r="13">
      <x:c r="A13" s="50"/>
      <x:c r="B13" s="64"/>
      <x:c r="C13" s="50"/>
      <x:c r="D13" s="50"/>
      <x:c r="E13" s="50" t="str">
        <x:f>IFERROR(VLOOKUP(D13,Inventory!$B:$C,2,FALSE),"")</x:f>
      </x:c>
      <x:c r="F13" s="65"/>
      <x:c r="G13" s="66"/>
      <x:c r="H13" s="66" t="n">
        <x:f>F13*G13</x:f>
        <x:v>0</x:v>
      </x:c>
      <x:c r="I13" s="50"/>
      <x:c r="J13" s="50"/>
      <x:c r="K13" s="50"/>
      <x:c r="L13" s="50"/>
      <x:c r="M13" s="50"/>
      <x:c r="N13" s="50"/>
      <x:c r="O13" s="50"/>
    </x:row>
    <x:row r="14">
      <x:c r="A14" s="50"/>
      <x:c r="B14" s="64"/>
      <x:c r="C14" s="50"/>
      <x:c r="D14" s="50"/>
      <x:c r="E14" s="50" t="str">
        <x:f>IFERROR(VLOOKUP(D14,Inventory!$B:$C,2,FALSE),"")</x:f>
      </x:c>
      <x:c r="F14" s="65"/>
      <x:c r="G14" s="66"/>
      <x:c r="H14" s="66" t="n">
        <x:f>F14*G14</x:f>
        <x:v>0</x:v>
      </x:c>
      <x:c r="I14" s="50"/>
      <x:c r="J14" s="50"/>
      <x:c r="K14" s="50"/>
      <x:c r="L14" s="50"/>
      <x:c r="M14" s="50"/>
      <x:c r="N14" s="50"/>
      <x:c r="O14" s="50"/>
    </x:row>
    <x:row r="15">
      <x:c r="A15" s="50"/>
      <x:c r="B15" s="64"/>
      <x:c r="C15" s="50"/>
      <x:c r="D15" s="50"/>
      <x:c r="E15" s="50" t="str">
        <x:f>IFERROR(VLOOKUP(D15,Inventory!$B:$C,2,FALSE),"")</x:f>
      </x:c>
      <x:c r="F15" s="65"/>
      <x:c r="G15" s="66"/>
      <x:c r="H15" s="66" t="n">
        <x:f>F15*G15</x:f>
        <x:v>0</x:v>
      </x:c>
      <x:c r="I15" s="50"/>
      <x:c r="J15" s="50"/>
      <x:c r="K15" s="50"/>
      <x:c r="L15" s="50"/>
      <x:c r="M15" s="50"/>
      <x:c r="N15" s="50"/>
      <x:c r="O15" s="50"/>
    </x:row>
    <x:row r="16">
      <x:c r="A16" s="50"/>
      <x:c r="B16" s="64"/>
      <x:c r="C16" s="50"/>
      <x:c r="D16" s="50"/>
      <x:c r="E16" s="50" t="str">
        <x:f>IFERROR(VLOOKUP(D16,Inventory!$B:$C,2,FALSE),"")</x:f>
      </x:c>
      <x:c r="F16" s="65"/>
      <x:c r="G16" s="66"/>
      <x:c r="H16" s="66" t="n">
        <x:f>F16*G16</x:f>
        <x:v>0</x:v>
      </x:c>
      <x:c r="I16" s="50"/>
      <x:c r="J16" s="50"/>
      <x:c r="K16" s="50"/>
      <x:c r="L16" s="50"/>
      <x:c r="M16" s="50"/>
      <x:c r="N16" s="50"/>
      <x:c r="O16" s="50"/>
    </x:row>
    <x:row r="17">
      <x:c r="A17" s="50"/>
      <x:c r="B17" s="64"/>
      <x:c r="C17" s="50"/>
      <x:c r="D17" s="50"/>
      <x:c r="E17" s="50" t="str">
        <x:f>IFERROR(VLOOKUP(D17,Inventory!$B:$C,2,FALSE),"")</x:f>
      </x:c>
      <x:c r="F17" s="65"/>
      <x:c r="G17" s="66"/>
      <x:c r="H17" s="66" t="n">
        <x:f>F17*G17</x:f>
        <x:v>0</x:v>
      </x:c>
      <x:c r="I17" s="50"/>
      <x:c r="J17" s="50"/>
      <x:c r="K17" s="50"/>
      <x:c r="L17" s="50"/>
      <x:c r="M17" s="50"/>
      <x:c r="N17" s="50"/>
      <x:c r="O17" s="50"/>
    </x:row>
    <x:row r="18">
      <x:c r="A18" s="50"/>
      <x:c r="B18" s="64"/>
      <x:c r="C18" s="50"/>
      <x:c r="D18" s="50"/>
      <x:c r="E18" s="50" t="str">
        <x:f>IFERROR(VLOOKUP(D18,Inventory!$B:$C,2,FALSE),"")</x:f>
      </x:c>
      <x:c r="F18" s="65"/>
      <x:c r="G18" s="66"/>
      <x:c r="H18" s="66" t="n">
        <x:f>F18*G18</x:f>
        <x:v>0</x:v>
      </x:c>
      <x:c r="I18" s="50"/>
      <x:c r="J18" s="50"/>
      <x:c r="K18" s="50"/>
      <x:c r="L18" s="50"/>
      <x:c r="M18" s="50"/>
      <x:c r="N18" s="50"/>
      <x:c r="O18" s="50"/>
    </x:row>
    <x:row r="19">
      <x:c r="A19" s="50"/>
      <x:c r="B19" s="64"/>
      <x:c r="C19" s="50"/>
      <x:c r="D19" s="50"/>
      <x:c r="E19" s="50" t="str">
        <x:f>IFERROR(VLOOKUP(D19,Inventory!$B:$C,2,FALSE),"")</x:f>
      </x:c>
      <x:c r="F19" s="65"/>
      <x:c r="G19" s="66"/>
      <x:c r="H19" s="66" t="n">
        <x:f>F19*G19</x:f>
        <x:v>0</x:v>
      </x:c>
      <x:c r="I19" s="50"/>
      <x:c r="J19" s="50"/>
      <x:c r="K19" s="50"/>
      <x:c r="L19" s="50"/>
      <x:c r="M19" s="50"/>
      <x:c r="N19" s="50"/>
      <x:c r="O19" s="50"/>
    </x:row>
    <x:row r="20">
      <x:c r="A20" s="50"/>
      <x:c r="B20" s="64"/>
      <x:c r="C20" s="50"/>
      <x:c r="D20" s="50"/>
      <x:c r="E20" s="50" t="str">
        <x:f>IFERROR(VLOOKUP(D20,Inventory!$B:$C,2,FALSE),"")</x:f>
      </x:c>
      <x:c r="F20" s="65"/>
      <x:c r="G20" s="66"/>
      <x:c r="H20" s="66" t="n">
        <x:f>F20*G20</x:f>
        <x:v>0</x:v>
      </x:c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64"/>
      <x:c r="C21" s="50"/>
      <x:c r="D21" s="50"/>
      <x:c r="E21" s="50" t="str">
        <x:f>IFERROR(VLOOKUP(D21,Inventory!$B:$C,2,FALSE),"")</x:f>
      </x:c>
      <x:c r="F21" s="65"/>
      <x:c r="G21" s="66"/>
      <x:c r="H21" s="66" t="n">
        <x:f>F21*G21</x:f>
        <x:v>0</x:v>
      </x:c>
      <x:c r="I21" s="50"/>
      <x:c r="J21" s="50"/>
      <x:c r="K21" s="50"/>
      <x:c r="L21" s="50"/>
      <x:c r="M21" s="50"/>
      <x:c r="N21" s="50"/>
      <x:c r="O21" s="50"/>
    </x:row>
    <x:row r="22">
      <x:c r="A22" s="50"/>
      <x:c r="B22" s="64"/>
      <x:c r="C22" s="50"/>
      <x:c r="D22" s="50"/>
      <x:c r="E22" s="50" t="str">
        <x:f>IFERROR(VLOOKUP(D22,Inventory!$B:$C,2,FALSE),"")</x:f>
      </x:c>
      <x:c r="F22" s="65"/>
      <x:c r="G22" s="66"/>
      <x:c r="H22" s="66" t="n">
        <x:f>F22*G22</x:f>
        <x:v>0</x:v>
      </x:c>
      <x:c r="I22" s="50"/>
      <x:c r="J22" s="50"/>
      <x:c r="K22" s="50"/>
      <x:c r="L22" s="50"/>
      <x:c r="M22" s="50"/>
      <x:c r="N22" s="50"/>
      <x:c r="O22" s="50"/>
    </x:row>
    <x:row r="23">
      <x:c r="A23" s="50"/>
      <x:c r="B23" s="64"/>
      <x:c r="C23" s="50"/>
      <x:c r="D23" s="50"/>
      <x:c r="E23" s="50" t="str">
        <x:f>IFERROR(VLOOKUP(D23,Inventory!$B:$C,2,FALSE),"")</x:f>
      </x:c>
      <x:c r="F23" s="65"/>
      <x:c r="G23" s="66"/>
      <x:c r="H23" s="66" t="n">
        <x:f>F23*G23</x:f>
        <x:v>0</x:v>
      </x:c>
      <x:c r="I23" s="50"/>
      <x:c r="J23" s="50"/>
      <x:c r="K23" s="50"/>
      <x:c r="L23" s="50"/>
      <x:c r="M23" s="50"/>
      <x:c r="N23" s="50"/>
      <x:c r="O23" s="50"/>
    </x:row>
    <x:row r="24">
      <x:c r="A24" s="50"/>
      <x:c r="B24" s="64"/>
      <x:c r="C24" s="50"/>
      <x:c r="D24" s="50"/>
      <x:c r="E24" s="50" t="str">
        <x:f>IFERROR(VLOOKUP(D24,Inventory!$B:$C,2,FALSE),"")</x:f>
      </x:c>
      <x:c r="F24" s="65"/>
      <x:c r="G24" s="66"/>
      <x:c r="H24" s="66" t="n">
        <x:f>F24*G24</x:f>
        <x:v>0</x:v>
      </x:c>
      <x:c r="I24" s="50"/>
      <x:c r="J24" s="50"/>
      <x:c r="K24" s="50"/>
      <x:c r="L24" s="50"/>
      <x:c r="M24" s="50"/>
      <x:c r="N24" s="50"/>
      <x:c r="O24" s="50"/>
    </x:row>
    <x:row r="25">
      <x:c r="A25" s="50"/>
      <x:c r="B25" s="64"/>
      <x:c r="C25" s="50"/>
      <x:c r="D25" s="50"/>
      <x:c r="E25" s="50" t="str">
        <x:f>IFERROR(VLOOKUP(D25,Inventory!$B:$C,2,FALSE),"")</x:f>
      </x:c>
      <x:c r="F25" s="65"/>
      <x:c r="G25" s="66"/>
      <x:c r="H25" s="66" t="n">
        <x:f>F25*G25</x:f>
        <x:v>0</x:v>
      </x:c>
      <x:c r="I25" s="50"/>
      <x:c r="J25" s="50"/>
      <x:c r="K25" s="50"/>
      <x:c r="L25" s="50"/>
      <x:c r="M25" s="50"/>
      <x:c r="N25" s="50"/>
      <x:c r="O25" s="50"/>
    </x:row>
    <x:row r="26">
      <x:c r="A26" s="50"/>
      <x:c r="B26" s="64"/>
      <x:c r="C26" s="50"/>
      <x:c r="D26" s="50"/>
      <x:c r="E26" s="50" t="str">
        <x:f>IFERROR(VLOOKUP(D26,Inventory!$B:$C,2,FALSE),"")</x:f>
      </x:c>
      <x:c r="F26" s="65"/>
      <x:c r="G26" s="66"/>
      <x:c r="H26" s="66" t="n">
        <x:f>F26*G26</x:f>
        <x:v>0</x:v>
      </x:c>
      <x:c r="I26" s="50"/>
      <x:c r="J26" s="50"/>
      <x:c r="K26" s="50"/>
      <x:c r="L26" s="50"/>
      <x:c r="M26" s="50"/>
      <x:c r="N26" s="50"/>
      <x:c r="O26" s="50"/>
    </x:row>
    <x:row r="27">
      <x:c r="A27" s="50"/>
      <x:c r="B27" s="64"/>
      <x:c r="C27" s="50"/>
      <x:c r="D27" s="50"/>
      <x:c r="E27" s="50" t="str">
        <x:f>IFERROR(VLOOKUP(D27,Inventory!$B:$C,2,FALSE),"")</x:f>
      </x:c>
      <x:c r="F27" s="65"/>
      <x:c r="G27" s="66"/>
      <x:c r="H27" s="66" t="n">
        <x:f>F27*G27</x:f>
        <x:v>0</x:v>
      </x:c>
      <x:c r="I27" s="50"/>
      <x:c r="J27" s="50"/>
      <x:c r="K27" s="50"/>
      <x:c r="L27" s="50"/>
      <x:c r="M27" s="50"/>
      <x:c r="N27" s="50"/>
      <x:c r="O27" s="50"/>
    </x:row>
    <x:row r="28">
      <x:c r="A28" s="50"/>
      <x:c r="B28" s="64"/>
      <x:c r="C28" s="50"/>
      <x:c r="D28" s="50"/>
      <x:c r="E28" s="50" t="str">
        <x:f>IFERROR(VLOOKUP(D28,Inventory!$B:$C,2,FALSE),"")</x:f>
      </x:c>
      <x:c r="F28" s="65"/>
      <x:c r="G28" s="66"/>
      <x:c r="H28" s="66" t="n">
        <x:f>F28*G28</x:f>
        <x:v>0</x:v>
      </x:c>
      <x:c r="I28" s="50"/>
      <x:c r="J28" s="50"/>
      <x:c r="K28" s="50"/>
      <x:c r="L28" s="50"/>
      <x:c r="M28" s="50"/>
      <x:c r="N28" s="50"/>
      <x:c r="O28" s="50"/>
    </x:row>
    <x:row r="29">
      <x:c r="A29" s="50"/>
      <x:c r="B29" s="64"/>
      <x:c r="C29" s="50"/>
      <x:c r="D29" s="50"/>
      <x:c r="E29" s="50" t="str">
        <x:f>IFERROR(VLOOKUP(D29,Inventory!$B:$C,2,FALSE),"")</x:f>
      </x:c>
      <x:c r="F29" s="65"/>
      <x:c r="G29" s="66"/>
      <x:c r="H29" s="66" t="n">
        <x:f>F29*G29</x:f>
        <x:v>0</x:v>
      </x:c>
      <x:c r="I29" s="50"/>
      <x:c r="J29" s="50"/>
      <x:c r="K29" s="50"/>
      <x:c r="L29" s="50"/>
      <x:c r="M29" s="50"/>
      <x:c r="N29" s="50"/>
      <x:c r="O29" s="50"/>
    </x:row>
    <x:row r="30">
      <x:c r="A30" s="50"/>
      <x:c r="B30" s="64"/>
      <x:c r="C30" s="50"/>
      <x:c r="D30" s="50"/>
      <x:c r="E30" s="50" t="str">
        <x:f>IFERROR(VLOOKUP(D30,Inventory!$B:$C,2,FALSE),"")</x:f>
      </x:c>
      <x:c r="F30" s="65"/>
      <x:c r="G30" s="66"/>
      <x:c r="H30" s="66" t="n">
        <x:f>F30*G30</x:f>
        <x:v>0</x:v>
      </x:c>
      <x:c r="I30" s="50"/>
      <x:c r="J30" s="50"/>
      <x:c r="K30" s="50"/>
      <x:c r="L30" s="50"/>
      <x:c r="M30" s="50"/>
      <x:c r="N30" s="50"/>
      <x:c r="O30" s="50"/>
    </x:row>
    <x:row r="31">
      <x:c r="A31" s="50"/>
      <x:c r="B31" s="64"/>
      <x:c r="C31" s="50"/>
      <x:c r="D31" s="50"/>
      <x:c r="E31" s="50" t="str">
        <x:f>IFERROR(VLOOKUP(D31,Inventory!$B:$C,2,FALSE),"")</x:f>
      </x:c>
      <x:c r="F31" s="65"/>
      <x:c r="G31" s="66"/>
      <x:c r="H31" s="66" t="n">
        <x:f>F31*G31</x:f>
        <x:v>0</x:v>
      </x:c>
      <x:c r="I31" s="50"/>
      <x:c r="J31" s="50"/>
      <x:c r="K31" s="50"/>
      <x:c r="L31" s="50"/>
      <x:c r="M31" s="50"/>
      <x:c r="N31" s="50"/>
      <x:c r="O31" s="50"/>
    </x:row>
    <x:row r="32">
      <x:c r="A32" s="50"/>
      <x:c r="B32" s="64"/>
      <x:c r="C32" s="50"/>
      <x:c r="D32" s="50"/>
      <x:c r="E32" s="50" t="str">
        <x:f>IFERROR(VLOOKUP(D32,Inventory!$B:$C,2,FALSE),"")</x:f>
      </x:c>
      <x:c r="F32" s="65"/>
      <x:c r="G32" s="66"/>
      <x:c r="H32" s="66" t="n">
        <x:f>F32*G32</x:f>
        <x:v>0</x:v>
      </x:c>
      <x:c r="I32" s="50"/>
      <x:c r="J32" s="50"/>
      <x:c r="K32" s="50"/>
      <x:c r="L32" s="50"/>
      <x:c r="M32" s="50"/>
      <x:c r="N32" s="50"/>
      <x:c r="O32" s="50"/>
    </x:row>
    <x:row r="33">
      <x:c r="A33" s="50"/>
      <x:c r="B33" s="64"/>
      <x:c r="C33" s="50"/>
      <x:c r="D33" s="50"/>
      <x:c r="E33" s="50" t="str">
        <x:f>IFERROR(VLOOKUP(D33,Inventory!$B:$C,2,FALSE),"")</x:f>
      </x:c>
      <x:c r="F33" s="65"/>
      <x:c r="G33" s="66"/>
      <x:c r="H33" s="66" t="n">
        <x:f>F33*G33</x:f>
        <x:v>0</x:v>
      </x:c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64"/>
      <x:c r="C34" s="50"/>
      <x:c r="D34" s="50"/>
      <x:c r="E34" s="50" t="str">
        <x:f>IFERROR(VLOOKUP(D34,Inventory!$B:$C,2,FALSE),"")</x:f>
      </x:c>
      <x:c r="F34" s="65"/>
      <x:c r="G34" s="66"/>
      <x:c r="H34" s="66" t="n">
        <x:f>F34*G34</x:f>
        <x:v>0</x:v>
      </x:c>
      <x:c r="I34" s="50"/>
      <x:c r="J34" s="50"/>
      <x:c r="K34" s="50"/>
      <x:c r="L34" s="50"/>
      <x:c r="M34" s="50"/>
      <x:c r="N34" s="50"/>
      <x:c r="O34" s="50"/>
    </x:row>
    <x:row r="35">
      <x:c r="A35" s="50"/>
      <x:c r="B35" s="64"/>
      <x:c r="C35" s="50"/>
      <x:c r="D35" s="50"/>
      <x:c r="E35" s="50" t="str">
        <x:f>IFERROR(VLOOKUP(D35,Inventory!$B:$C,2,FALSE),"")</x:f>
      </x:c>
      <x:c r="F35" s="65"/>
      <x:c r="G35" s="66"/>
      <x:c r="H35" s="66" t="n">
        <x:f>F35*G35</x:f>
        <x:v>0</x:v>
      </x:c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64"/>
      <x:c r="C36" s="50"/>
      <x:c r="D36" s="50"/>
      <x:c r="E36" s="50" t="str">
        <x:f>IFERROR(VLOOKUP(D36,Inventory!$B:$C,2,FALSE),"")</x:f>
      </x:c>
      <x:c r="F36" s="65"/>
      <x:c r="G36" s="66"/>
      <x:c r="H36" s="66" t="n">
        <x:f>F36*G36</x:f>
        <x:v>0</x:v>
      </x:c>
      <x:c r="I36" s="50"/>
      <x:c r="J36" s="50"/>
      <x:c r="K36" s="50"/>
      <x:c r="L36" s="50"/>
      <x:c r="M36" s="50"/>
      <x:c r="N36" s="50"/>
      <x:c r="O36" s="50"/>
    </x:row>
    <x:row r="37">
      <x:c r="A37" s="50"/>
      <x:c r="B37" s="64"/>
      <x:c r="C37" s="50"/>
      <x:c r="D37" s="50"/>
      <x:c r="E37" s="50" t="str">
        <x:f>IFERROR(VLOOKUP(D37,Inventory!$B:$C,2,FALSE),"")</x:f>
      </x:c>
      <x:c r="F37" s="65"/>
      <x:c r="G37" s="66"/>
      <x:c r="H37" s="66" t="n">
        <x:f>F37*G37</x:f>
        <x:v>0</x:v>
      </x:c>
      <x:c r="I37" s="50"/>
      <x:c r="J37" s="50"/>
      <x:c r="K37" s="50"/>
      <x:c r="L37" s="50"/>
      <x:c r="M37" s="50"/>
      <x:c r="N37" s="50"/>
      <x:c r="O37" s="50"/>
    </x:row>
    <x:row r="38">
      <x:c r="A38" s="50"/>
      <x:c r="B38" s="64"/>
      <x:c r="C38" s="50"/>
      <x:c r="D38" s="50"/>
      <x:c r="E38" s="50" t="str">
        <x:f>IFERROR(VLOOKUP(D38,Inventory!$B:$C,2,FALSE),"")</x:f>
      </x:c>
      <x:c r="F38" s="65"/>
      <x:c r="G38" s="66"/>
      <x:c r="H38" s="66" t="n">
        <x:f>F38*G38</x:f>
        <x:v>0</x:v>
      </x:c>
      <x:c r="I38" s="50"/>
      <x:c r="J38" s="50"/>
      <x:c r="K38" s="50"/>
      <x:c r="L38" s="50"/>
      <x:c r="M38" s="50"/>
      <x:c r="N38" s="50"/>
      <x:c r="O38" s="50"/>
    </x:row>
    <x:row r="39">
      <x:c r="A39" s="50"/>
      <x:c r="B39" s="64"/>
      <x:c r="C39" s="50"/>
      <x:c r="D39" s="50"/>
      <x:c r="E39" s="50" t="str">
        <x:f>IFERROR(VLOOKUP(D39,Inventory!$B:$C,2,FALSE),"")</x:f>
      </x:c>
      <x:c r="F39" s="65"/>
      <x:c r="G39" s="66"/>
      <x:c r="H39" s="66" t="n">
        <x:f>F39*G39</x:f>
        <x:v>0</x:v>
      </x:c>
      <x:c r="I39" s="50"/>
      <x:c r="J39" s="50"/>
      <x:c r="K39" s="50"/>
      <x:c r="L39" s="50"/>
      <x:c r="M39" s="50"/>
      <x:c r="N39" s="50"/>
      <x:c r="O39" s="50"/>
    </x:row>
    <x:row r="40">
      <x:c r="A40" s="50"/>
      <x:c r="B40" s="64"/>
      <x:c r="C40" s="50"/>
      <x:c r="D40" s="50"/>
      <x:c r="E40" s="50" t="str">
        <x:f>IFERROR(VLOOKUP(D40,Inventory!$B:$C,2,FALSE),"")</x:f>
      </x:c>
      <x:c r="F40" s="65"/>
      <x:c r="G40" s="66"/>
      <x:c r="H40" s="66" t="n">
        <x:f>F40*G40</x:f>
        <x:v>0</x:v>
      </x:c>
      <x:c r="I40" s="50"/>
      <x:c r="J40" s="50"/>
      <x:c r="K40" s="50"/>
      <x:c r="L40" s="50"/>
      <x:c r="M40" s="50"/>
      <x:c r="N40" s="50"/>
      <x:c r="O40" s="50"/>
    </x:row>
    <x:row r="41">
      <x:c r="A41" s="50"/>
      <x:c r="B41" s="64"/>
      <x:c r="C41" s="50"/>
      <x:c r="D41" s="50"/>
      <x:c r="E41" s="50" t="str">
        <x:f>IFERROR(VLOOKUP(D41,Inventory!$B:$C,2,FALSE),"")</x:f>
      </x:c>
      <x:c r="F41" s="65"/>
      <x:c r="G41" s="66"/>
      <x:c r="H41" s="66" t="n">
        <x:f>F41*G41</x:f>
        <x:v>0</x:v>
      </x:c>
      <x:c r="I41" s="50"/>
      <x:c r="J41" s="50"/>
      <x:c r="K41" s="50"/>
      <x:c r="L41" s="50"/>
      <x:c r="M41" s="50"/>
      <x:c r="N41" s="50"/>
      <x:c r="O41" s="50"/>
    </x:row>
    <x:row r="42">
      <x:c r="A42" s="50"/>
      <x:c r="B42" s="64"/>
      <x:c r="C42" s="50"/>
      <x:c r="D42" s="50"/>
      <x:c r="E42" s="50" t="str">
        <x:f>IFERROR(VLOOKUP(D42,Inventory!$B:$C,2,FALSE),"")</x:f>
      </x:c>
      <x:c r="F42" s="65"/>
      <x:c r="G42" s="66"/>
      <x:c r="H42" s="66" t="n">
        <x:f>F42*G42</x:f>
        <x:v>0</x:v>
      </x:c>
      <x:c r="I42" s="50"/>
      <x:c r="J42" s="50"/>
      <x:c r="K42" s="50"/>
      <x:c r="L42" s="50"/>
      <x:c r="M42" s="50"/>
      <x:c r="N42" s="50"/>
      <x:c r="O42" s="50"/>
    </x:row>
    <x:row r="43">
      <x:c r="A43" s="50"/>
      <x:c r="B43" s="64"/>
      <x:c r="C43" s="50"/>
      <x:c r="D43" s="50"/>
      <x:c r="E43" s="50" t="str">
        <x:f>IFERROR(VLOOKUP(D43,Inventory!$B:$C,2,FALSE),"")</x:f>
      </x:c>
      <x:c r="F43" s="65"/>
      <x:c r="G43" s="66"/>
      <x:c r="H43" s="66" t="n">
        <x:f>F43*G43</x:f>
        <x:v>0</x:v>
      </x:c>
      <x:c r="I43" s="50"/>
      <x:c r="J43" s="50"/>
      <x:c r="K43" s="50"/>
      <x:c r="L43" s="50"/>
      <x:c r="M43" s="50"/>
      <x:c r="N43" s="50"/>
      <x:c r="O43" s="50"/>
    </x:row>
    <x:row r="44">
      <x:c r="A44" s="50"/>
      <x:c r="B44" s="64"/>
      <x:c r="C44" s="50"/>
      <x:c r="D44" s="50"/>
      <x:c r="E44" s="50" t="str">
        <x:f>IFERROR(VLOOKUP(D44,Inventory!$B:$C,2,FALSE),"")</x:f>
      </x:c>
      <x:c r="F44" s="65"/>
      <x:c r="G44" s="66"/>
      <x:c r="H44" s="66" t="n">
        <x:f>F44*G44</x:f>
        <x:v>0</x:v>
      </x:c>
      <x:c r="I44" s="50"/>
      <x:c r="J44" s="50"/>
      <x:c r="K44" s="50"/>
      <x:c r="L44" s="50"/>
      <x:c r="M44" s="50"/>
      <x:c r="N44" s="50"/>
      <x:c r="O44" s="50"/>
    </x:row>
    <x:row r="45">
      <x:c r="A45" s="50"/>
      <x:c r="B45" s="64"/>
      <x:c r="C45" s="50"/>
      <x:c r="D45" s="50"/>
      <x:c r="E45" s="50" t="str">
        <x:f>IFERROR(VLOOKUP(D45,Inventory!$B:$C,2,FALSE),"")</x:f>
      </x:c>
      <x:c r="F45" s="65"/>
      <x:c r="G45" s="66"/>
      <x:c r="H45" s="66" t="n">
        <x:f>F45*G45</x:f>
        <x:v>0</x:v>
      </x:c>
      <x:c r="I45" s="50"/>
      <x:c r="J45" s="50"/>
      <x:c r="K45" s="50"/>
      <x:c r="L45" s="50"/>
      <x:c r="M45" s="50"/>
      <x:c r="N45" s="50"/>
      <x:c r="O45" s="50"/>
    </x:row>
    <x:row r="46">
      <x:c r="A46" s="50"/>
      <x:c r="B46" s="64"/>
      <x:c r="C46" s="50"/>
      <x:c r="D46" s="50"/>
      <x:c r="E46" s="50" t="str">
        <x:f>IFERROR(VLOOKUP(D46,Inventory!$B:$C,2,FALSE),"")</x:f>
      </x:c>
      <x:c r="F46" s="65"/>
      <x:c r="G46" s="66"/>
      <x:c r="H46" s="66" t="n">
        <x:f>F46*G46</x:f>
        <x:v>0</x:v>
      </x:c>
      <x:c r="I46" s="50"/>
      <x:c r="J46" s="50"/>
      <x:c r="K46" s="50"/>
      <x:c r="L46" s="50"/>
      <x:c r="M46" s="50"/>
      <x:c r="N46" s="50"/>
      <x:c r="O46" s="50"/>
    </x:row>
    <x:row r="47">
      <x:c r="A47" s="50"/>
      <x:c r="B47" s="64"/>
      <x:c r="C47" s="50"/>
      <x:c r="D47" s="50"/>
      <x:c r="E47" s="50" t="str">
        <x:f>IFERROR(VLOOKUP(D47,Inventory!$B:$C,2,FALSE),"")</x:f>
      </x:c>
      <x:c r="F47" s="65"/>
      <x:c r="G47" s="66"/>
      <x:c r="H47" s="66" t="n">
        <x:f>F47*G47</x:f>
        <x:v>0</x:v>
      </x:c>
      <x:c r="I47" s="50"/>
      <x:c r="J47" s="50"/>
      <x:c r="K47" s="50"/>
      <x:c r="L47" s="50"/>
      <x:c r="M47" s="50"/>
      <x:c r="N47" s="50"/>
      <x:c r="O47" s="50"/>
    </x:row>
    <x:row r="48">
      <x:c r="A48" s="50"/>
      <x:c r="B48" s="64"/>
      <x:c r="C48" s="50"/>
      <x:c r="D48" s="50"/>
      <x:c r="E48" s="50" t="str">
        <x:f>IFERROR(VLOOKUP(D48,Inventory!$B:$C,2,FALSE),"")</x:f>
      </x:c>
      <x:c r="F48" s="65"/>
      <x:c r="G48" s="66"/>
      <x:c r="H48" s="66" t="n">
        <x:f>F48*G48</x:f>
        <x:v>0</x:v>
      </x:c>
      <x:c r="I48" s="50"/>
      <x:c r="J48" s="50"/>
      <x:c r="K48" s="50"/>
      <x:c r="L48" s="50"/>
      <x:c r="M48" s="50"/>
      <x:c r="N48" s="50"/>
      <x:c r="O48" s="50"/>
    </x:row>
    <x:row r="49">
      <x:c r="A49" s="50"/>
      <x:c r="B49" s="64"/>
      <x:c r="C49" s="50"/>
      <x:c r="D49" s="50"/>
      <x:c r="E49" s="50" t="str">
        <x:f>IFERROR(VLOOKUP(D49,Inventory!$B:$C,2,FALSE),"")</x:f>
      </x:c>
      <x:c r="F49" s="65"/>
      <x:c r="G49" s="66"/>
      <x:c r="H49" s="66" t="n">
        <x:f>F49*G49</x:f>
        <x:v>0</x:v>
      </x:c>
      <x:c r="I49" s="50"/>
      <x:c r="J49" s="50"/>
      <x:c r="K49" s="50"/>
      <x:c r="L49" s="50"/>
      <x:c r="M49" s="50"/>
      <x:c r="N49" s="50"/>
      <x:c r="O49" s="50"/>
    </x:row>
    <x:row r="50">
      <x:c r="A50" s="50"/>
      <x:c r="B50" s="64"/>
      <x:c r="C50" s="50"/>
      <x:c r="D50" s="50"/>
      <x:c r="E50" s="50" t="str">
        <x:f>IFERROR(VLOOKUP(D50,Inventory!$B:$C,2,FALSE),"")</x:f>
      </x:c>
      <x:c r="F50" s="65"/>
      <x:c r="G50" s="66"/>
      <x:c r="H50" s="66" t="n">
        <x:f>F50*G50</x:f>
        <x:v>0</x:v>
      </x:c>
      <x:c r="I50" s="50"/>
      <x:c r="J50" s="50"/>
      <x:c r="K50" s="50"/>
      <x:c r="L50" s="50"/>
      <x:c r="M50" s="50"/>
      <x:c r="N50" s="50"/>
      <x:c r="O50" s="50"/>
    </x:row>
    <x:row r="51">
      <x:c r="A51" s="50"/>
      <x:c r="B51" s="64"/>
      <x:c r="C51" s="50"/>
      <x:c r="D51" s="50"/>
      <x:c r="E51" s="50" t="str">
        <x:f>IFERROR(VLOOKUP(D51,Inventory!$B:$C,2,FALSE),"")</x:f>
      </x:c>
      <x:c r="F51" s="65"/>
      <x:c r="G51" s="66"/>
      <x:c r="H51" s="66" t="n">
        <x:f>F51*G51</x:f>
        <x:v>0</x:v>
      </x:c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64"/>
      <x:c r="C52" s="50"/>
      <x:c r="D52" s="50"/>
      <x:c r="E52" s="50" t="str">
        <x:f>IFERROR(VLOOKUP(D52,Inventory!$B:$C,2,FALSE),"")</x:f>
      </x:c>
      <x:c r="F52" s="65"/>
      <x:c r="G52" s="66"/>
      <x:c r="H52" s="66" t="n">
        <x:f>F52*G52</x:f>
        <x:v>0</x:v>
      </x:c>
      <x:c r="I52" s="50"/>
      <x:c r="J52" s="50"/>
      <x:c r="K52" s="50"/>
      <x:c r="L52" s="50"/>
      <x:c r="M52" s="50"/>
      <x:c r="N52" s="50"/>
      <x:c r="O52" s="50"/>
    </x:row>
    <x:row r="53">
      <x:c r="A53" s="50"/>
      <x:c r="B53" s="64"/>
      <x:c r="C53" s="50"/>
      <x:c r="D53" s="50"/>
      <x:c r="E53" s="50" t="str">
        <x:f>IFERROR(VLOOKUP(D53,Inventory!$B:$C,2,FALSE),"")</x:f>
      </x:c>
      <x:c r="F53" s="65"/>
      <x:c r="G53" s="66"/>
      <x:c r="H53" s="66" t="n">
        <x:f>F53*G53</x:f>
        <x:v>0</x:v>
      </x:c>
      <x:c r="I53" s="50"/>
      <x:c r="J53" s="50"/>
      <x:c r="K53" s="50"/>
      <x:c r="L53" s="50"/>
      <x:c r="M53" s="50"/>
      <x:c r="N53" s="50"/>
      <x:c r="O53" s="50"/>
    </x:row>
    <x:row r="54">
      <x:c r="A54" s="50"/>
      <x:c r="B54" s="64"/>
      <x:c r="C54" s="50"/>
      <x:c r="D54" s="50"/>
      <x:c r="E54" s="50" t="str">
        <x:f>IFERROR(VLOOKUP(D54,Inventory!$B:$C,2,FALSE),"")</x:f>
      </x:c>
      <x:c r="F54" s="65"/>
      <x:c r="G54" s="66"/>
      <x:c r="H54" s="66" t="n">
        <x:f>F54*G54</x:f>
        <x:v>0</x:v>
      </x:c>
      <x:c r="I54" s="50"/>
      <x:c r="J54" s="50"/>
      <x:c r="K54" s="50"/>
      <x:c r="L54" s="50"/>
      <x:c r="M54" s="50"/>
      <x:c r="N54" s="50"/>
      <x:c r="O54" s="50"/>
    </x:row>
    <x:row r="55">
      <x:c r="A55" s="50"/>
      <x:c r="B55" s="64"/>
      <x:c r="C55" s="50"/>
      <x:c r="D55" s="50"/>
      <x:c r="E55" s="50" t="str">
        <x:f>IFERROR(VLOOKUP(D55,Inventory!$B:$C,2,FALSE),"")</x:f>
      </x:c>
      <x:c r="F55" s="65"/>
      <x:c r="G55" s="66"/>
      <x:c r="H55" s="66" t="n">
        <x:f>F55*G55</x:f>
        <x:v>0</x:v>
      </x:c>
      <x:c r="I55" s="50"/>
      <x:c r="J55" s="50"/>
      <x:c r="K55" s="50"/>
      <x:c r="L55" s="50"/>
      <x:c r="M55" s="50"/>
      <x:c r="N55" s="50"/>
      <x:c r="O55" s="50"/>
    </x:row>
    <x:row r="56">
      <x:c r="A56" s="50"/>
      <x:c r="B56" s="64"/>
      <x:c r="C56" s="50"/>
      <x:c r="D56" s="50"/>
      <x:c r="E56" s="50" t="str">
        <x:f>IFERROR(VLOOKUP(D56,Inventory!$B:$C,2,FALSE),"")</x:f>
      </x:c>
      <x:c r="F56" s="65"/>
      <x:c r="G56" s="66"/>
      <x:c r="H56" s="66" t="n">
        <x:f>F56*G56</x:f>
        <x:v>0</x:v>
      </x:c>
      <x:c r="I56" s="50"/>
      <x:c r="J56" s="50"/>
      <x:c r="K56" s="50"/>
      <x:c r="L56" s="50"/>
      <x:c r="M56" s="50"/>
      <x:c r="N56" s="50"/>
      <x:c r="O56" s="50"/>
    </x:row>
    <x:row r="57">
      <x:c r="A57" s="50"/>
      <x:c r="B57" s="64"/>
      <x:c r="C57" s="50"/>
      <x:c r="D57" s="50"/>
      <x:c r="E57" s="50" t="str">
        <x:f>IFERROR(VLOOKUP(D57,Inventory!$B:$C,2,FALSE),"")</x:f>
      </x:c>
      <x:c r="F57" s="65"/>
      <x:c r="G57" s="66"/>
      <x:c r="H57" s="66" t="n">
        <x:f>F57*G57</x:f>
        <x:v>0</x:v>
      </x:c>
      <x:c r="I57" s="50"/>
      <x:c r="J57" s="50"/>
      <x:c r="K57" s="50"/>
      <x:c r="L57" s="50"/>
      <x:c r="M57" s="50"/>
      <x:c r="N57" s="50"/>
      <x:c r="O57" s="50"/>
    </x:row>
    <x:row r="58">
      <x:c r="A58" s="50"/>
      <x:c r="B58" s="64"/>
      <x:c r="C58" s="50"/>
      <x:c r="D58" s="50"/>
      <x:c r="E58" s="50" t="str">
        <x:f>IFERROR(VLOOKUP(D58,Inventory!$B:$C,2,FALSE),"")</x:f>
      </x:c>
      <x:c r="F58" s="65"/>
      <x:c r="G58" s="66"/>
      <x:c r="H58" s="66" t="n">
        <x:f>F58*G58</x:f>
        <x:v>0</x:v>
      </x:c>
      <x:c r="I58" s="50"/>
      <x:c r="J58" s="50"/>
      <x:c r="K58" s="50"/>
      <x:c r="L58" s="50"/>
      <x:c r="M58" s="50"/>
      <x:c r="N58" s="50"/>
      <x:c r="O58" s="50"/>
    </x:row>
    <x:row r="59">
      <x:c r="A59" s="50"/>
      <x:c r="B59" s="64"/>
      <x:c r="C59" s="50"/>
      <x:c r="D59" s="50"/>
      <x:c r="E59" s="50" t="str">
        <x:f>IFERROR(VLOOKUP(D59,Inventory!$B:$C,2,FALSE),"")</x:f>
      </x:c>
      <x:c r="F59" s="65"/>
      <x:c r="G59" s="66"/>
      <x:c r="H59" s="66" t="n">
        <x:f>F59*G59</x:f>
        <x:v>0</x:v>
      </x:c>
      <x:c r="I59" s="50"/>
      <x:c r="J59" s="50"/>
      <x:c r="K59" s="50"/>
      <x:c r="L59" s="50"/>
      <x:c r="M59" s="50"/>
      <x:c r="N59" s="50"/>
      <x:c r="O59" s="50"/>
    </x:row>
    <x:row r="60">
      <x:c r="A60" s="50"/>
      <x:c r="B60" s="64"/>
      <x:c r="C60" s="50"/>
      <x:c r="D60" s="50"/>
      <x:c r="E60" s="50" t="str">
        <x:f>IFERROR(VLOOKUP(D60,Inventory!$B:$C,2,FALSE),"")</x:f>
      </x:c>
      <x:c r="F60" s="65"/>
      <x:c r="G60" s="66"/>
      <x:c r="H60" s="66" t="n">
        <x:f>F60*G60</x:f>
        <x:v>0</x:v>
      </x:c>
      <x:c r="I60" s="50"/>
      <x:c r="J60" s="50"/>
      <x:c r="K60" s="50"/>
      <x:c r="L60" s="50"/>
      <x:c r="M60" s="50"/>
      <x:c r="N60" s="50"/>
      <x:c r="O60" s="50"/>
    </x:row>
    <x:row r="61">
      <x:c r="A61" s="50"/>
      <x:c r="B61" s="64"/>
      <x:c r="C61" s="50"/>
      <x:c r="D61" s="50"/>
      <x:c r="E61" s="50" t="str">
        <x:f>IFERROR(VLOOKUP(D61,Inventory!$B:$C,2,FALSE),"")</x:f>
      </x:c>
      <x:c r="F61" s="65"/>
      <x:c r="G61" s="66"/>
      <x:c r="H61" s="66" t="n">
        <x:f>F61*G61</x:f>
        <x:v>0</x:v>
      </x:c>
      <x:c r="I61" s="50"/>
      <x:c r="J61" s="50"/>
      <x:c r="K61" s="50"/>
      <x:c r="L61" s="50"/>
      <x:c r="M61" s="50"/>
      <x:c r="N61" s="50"/>
      <x:c r="O61" s="50"/>
    </x:row>
    <x:row r="62">
      <x:c r="A62" s="50"/>
      <x:c r="B62" s="64"/>
      <x:c r="C62" s="50"/>
      <x:c r="D62" s="50"/>
      <x:c r="E62" s="50" t="str">
        <x:f>IFERROR(VLOOKUP(D62,Inventory!$B:$C,2,FALSE),"")</x:f>
      </x:c>
      <x:c r="F62" s="65"/>
      <x:c r="G62" s="66"/>
      <x:c r="H62" s="66" t="n">
        <x:f>F62*G62</x:f>
        <x:v>0</x:v>
      </x:c>
      <x:c r="I62" s="50"/>
      <x:c r="J62" s="50"/>
      <x:c r="K62" s="50"/>
      <x:c r="L62" s="50"/>
      <x:c r="M62" s="50"/>
      <x:c r="N62" s="50"/>
      <x:c r="O62" s="50"/>
    </x:row>
    <x:row r="63">
      <x:c r="A63" s="50"/>
      <x:c r="B63" s="64"/>
      <x:c r="C63" s="50"/>
      <x:c r="D63" s="50"/>
      <x:c r="E63" s="50" t="str">
        <x:f>IFERROR(VLOOKUP(D63,Inventory!$B:$C,2,FALSE),"")</x:f>
      </x:c>
      <x:c r="F63" s="65"/>
      <x:c r="G63" s="66"/>
      <x:c r="H63" s="66" t="n">
        <x:f>F63*G63</x:f>
        <x:v>0</x:v>
      </x:c>
      <x:c r="I63" s="50"/>
      <x:c r="J63" s="50"/>
      <x:c r="K63" s="50"/>
      <x:c r="L63" s="50"/>
      <x:c r="M63" s="50"/>
      <x:c r="N63" s="50"/>
      <x:c r="O63" s="50"/>
    </x:row>
    <x:row r="64">
      <x:c r="A64" s="50"/>
      <x:c r="B64" s="64"/>
      <x:c r="C64" s="50"/>
      <x:c r="D64" s="50"/>
      <x:c r="E64" s="50" t="str">
        <x:f>IFERROR(VLOOKUP(D64,Inventory!$B:$C,2,FALSE),"")</x:f>
      </x:c>
      <x:c r="F64" s="65"/>
      <x:c r="G64" s="66"/>
      <x:c r="H64" s="66" t="n">
        <x:f>F64*G64</x:f>
        <x:v>0</x:v>
      </x:c>
      <x:c r="I64" s="50"/>
      <x:c r="J64" s="50"/>
      <x:c r="K64" s="50"/>
      <x:c r="L64" s="50"/>
      <x:c r="M64" s="50"/>
      <x:c r="N64" s="50"/>
      <x:c r="O64" s="50"/>
    </x:row>
    <x:row r="65">
      <x:c r="A65" s="50"/>
      <x:c r="B65" s="64"/>
      <x:c r="C65" s="50"/>
      <x:c r="D65" s="50"/>
      <x:c r="E65" s="50" t="str">
        <x:f>IFERROR(VLOOKUP(D65,Inventory!$B:$C,2,FALSE),"")</x:f>
      </x:c>
      <x:c r="F65" s="65"/>
      <x:c r="G65" s="66"/>
      <x:c r="H65" s="66" t="n">
        <x:f>F65*G65</x:f>
        <x:v>0</x:v>
      </x:c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64"/>
      <x:c r="C66" s="50"/>
      <x:c r="D66" s="50"/>
      <x:c r="E66" s="50" t="str">
        <x:f>IFERROR(VLOOKUP(D66,Inventory!$B:$C,2,FALSE),"")</x:f>
      </x:c>
      <x:c r="F66" s="65"/>
      <x:c r="G66" s="66"/>
      <x:c r="H66" s="66" t="n">
        <x:f>F66*G66</x:f>
        <x:v>0</x:v>
      </x:c>
      <x:c r="I66" s="50"/>
      <x:c r="J66" s="50"/>
      <x:c r="K66" s="50"/>
      <x:c r="L66" s="50"/>
      <x:c r="M66" s="50"/>
      <x:c r="N66" s="50"/>
      <x:c r="O66" s="50"/>
    </x:row>
    <x:row r="67">
      <x:c r="A67" s="50"/>
      <x:c r="B67" s="64"/>
      <x:c r="C67" s="50"/>
      <x:c r="D67" s="50"/>
      <x:c r="E67" s="50" t="str">
        <x:f>IFERROR(VLOOKUP(D67,Inventory!$B:$C,2,FALSE),"")</x:f>
      </x:c>
      <x:c r="F67" s="65"/>
      <x:c r="G67" s="66"/>
      <x:c r="H67" s="66" t="n">
        <x:f>F67*G67</x:f>
        <x:v>0</x:v>
      </x:c>
      <x:c r="I67" s="50"/>
      <x:c r="J67" s="50"/>
      <x:c r="K67" s="50"/>
      <x:c r="L67" s="50"/>
      <x:c r="M67" s="50"/>
      <x:c r="N67" s="50"/>
      <x:c r="O67" s="50"/>
    </x:row>
    <x:row r="68">
      <x:c r="A68" s="50"/>
      <x:c r="B68" s="64"/>
      <x:c r="C68" s="50"/>
      <x:c r="D68" s="50"/>
      <x:c r="E68" s="50" t="str">
        <x:f>IFERROR(VLOOKUP(D68,Inventory!$B:$C,2,FALSE),"")</x:f>
      </x:c>
      <x:c r="F68" s="65"/>
      <x:c r="G68" s="66"/>
      <x:c r="H68" s="66" t="n">
        <x:f>F68*G68</x:f>
        <x:v>0</x:v>
      </x:c>
      <x:c r="I68" s="50"/>
      <x:c r="J68" s="50"/>
      <x:c r="K68" s="50"/>
      <x:c r="L68" s="50"/>
      <x:c r="M68" s="50"/>
      <x:c r="N68" s="50"/>
      <x:c r="O68" s="50"/>
    </x:row>
    <x:row r="69">
      <x:c r="A69" s="50"/>
      <x:c r="B69" s="64"/>
      <x:c r="C69" s="50"/>
      <x:c r="D69" s="50"/>
      <x:c r="E69" s="50" t="str">
        <x:f>IFERROR(VLOOKUP(D69,Inventory!$B:$C,2,FALSE),"")</x:f>
      </x:c>
      <x:c r="F69" s="65"/>
      <x:c r="G69" s="66"/>
      <x:c r="H69" s="66" t="n">
        <x:f>F69*G69</x:f>
        <x:v>0</x:v>
      </x:c>
      <x:c r="I69" s="50"/>
      <x:c r="J69" s="50"/>
      <x:c r="K69" s="50"/>
      <x:c r="L69" s="50"/>
      <x:c r="M69" s="50"/>
      <x:c r="N69" s="50"/>
      <x:c r="O69" s="50"/>
    </x:row>
    <x:row r="70">
      <x:c r="A70" s="50"/>
      <x:c r="B70" s="64"/>
      <x:c r="C70" s="50"/>
      <x:c r="D70" s="50"/>
      <x:c r="E70" s="50" t="str">
        <x:f>IFERROR(VLOOKUP(D70,Inventory!$B:$C,2,FALSE),"")</x:f>
      </x:c>
      <x:c r="F70" s="65"/>
      <x:c r="G70" s="66"/>
      <x:c r="H70" s="66" t="n">
        <x:f>F70*G70</x:f>
        <x:v>0</x:v>
      </x:c>
      <x:c r="I70" s="50"/>
      <x:c r="J70" s="50"/>
      <x:c r="K70" s="50"/>
      <x:c r="L70" s="50"/>
      <x:c r="M70" s="50"/>
      <x:c r="N70" s="50"/>
      <x:c r="O70" s="50"/>
    </x:row>
    <x:row r="71">
      <x:c r="A71" s="50"/>
      <x:c r="B71" s="64"/>
      <x:c r="C71" s="50"/>
      <x:c r="D71" s="50"/>
      <x:c r="E71" s="50" t="str">
        <x:f>IFERROR(VLOOKUP(D71,Inventory!$B:$C,2,FALSE),"")</x:f>
      </x:c>
      <x:c r="F71" s="65"/>
      <x:c r="G71" s="66"/>
      <x:c r="H71" s="66" t="n">
        <x:f>F71*G71</x:f>
        <x:v>0</x:v>
      </x:c>
      <x:c r="I71" s="50"/>
      <x:c r="J71" s="50"/>
      <x:c r="K71" s="50"/>
      <x:c r="L71" s="50"/>
      <x:c r="M71" s="50"/>
      <x:c r="N71" s="50"/>
      <x:c r="O71" s="50"/>
    </x:row>
    <x:row r="72">
      <x:c r="A72" s="50"/>
      <x:c r="B72" s="64"/>
      <x:c r="C72" s="50"/>
      <x:c r="D72" s="50"/>
      <x:c r="E72" s="50" t="str">
        <x:f>IFERROR(VLOOKUP(D72,Inventory!$B:$C,2,FALSE),"")</x:f>
      </x:c>
      <x:c r="F72" s="65"/>
      <x:c r="G72" s="66"/>
      <x:c r="H72" s="66" t="n">
        <x:f>F72*G72</x:f>
        <x:v>0</x:v>
      </x:c>
      <x:c r="I72" s="50"/>
      <x:c r="J72" s="50"/>
      <x:c r="K72" s="50"/>
      <x:c r="L72" s="50"/>
      <x:c r="M72" s="50"/>
      <x:c r="N72" s="50"/>
      <x:c r="O72" s="50"/>
    </x:row>
    <x:row r="73">
      <x:c r="A73" s="50"/>
      <x:c r="B73" s="64"/>
      <x:c r="C73" s="50"/>
      <x:c r="D73" s="50"/>
      <x:c r="E73" s="50" t="str">
        <x:f>IFERROR(VLOOKUP(D73,Inventory!$B:$C,2,FALSE),"")</x:f>
      </x:c>
      <x:c r="F73" s="65"/>
      <x:c r="G73" s="66"/>
      <x:c r="H73" s="66" t="n">
        <x:f>F73*G73</x:f>
        <x:v>0</x:v>
      </x:c>
      <x:c r="I73" s="50"/>
      <x:c r="J73" s="50"/>
      <x:c r="K73" s="50"/>
      <x:c r="L73" s="50"/>
      <x:c r="M73" s="50"/>
      <x:c r="N73" s="50"/>
      <x:c r="O73" s="50"/>
    </x:row>
    <x:row r="74">
      <x:c r="A74" s="50"/>
      <x:c r="B74" s="64"/>
      <x:c r="C74" s="50"/>
      <x:c r="D74" s="50"/>
      <x:c r="E74" s="50" t="str">
        <x:f>IFERROR(VLOOKUP(D74,Inventory!$B:$C,2,FALSE),"")</x:f>
      </x:c>
      <x:c r="F74" s="65"/>
      <x:c r="G74" s="66"/>
      <x:c r="H74" s="66" t="n">
        <x:f>F74*G74</x:f>
        <x:v>0</x:v>
      </x:c>
      <x:c r="I74" s="50"/>
      <x:c r="J74" s="50"/>
      <x:c r="K74" s="50"/>
      <x:c r="L74" s="50"/>
      <x:c r="M74" s="50"/>
      <x:c r="N74" s="50"/>
      <x:c r="O74" s="50"/>
    </x:row>
    <x:row r="75">
      <x:c r="A75" s="50"/>
      <x:c r="B75" s="64"/>
      <x:c r="C75" s="50"/>
      <x:c r="D75" s="50"/>
      <x:c r="E75" s="50" t="str">
        <x:f>IFERROR(VLOOKUP(D75,Inventory!$B:$C,2,FALSE),"")</x:f>
      </x:c>
      <x:c r="F75" s="65"/>
      <x:c r="G75" s="66"/>
      <x:c r="H75" s="66" t="n">
        <x:f>F75*G75</x:f>
        <x:v>0</x:v>
      </x:c>
      <x:c r="I75" s="50"/>
      <x:c r="J75" s="50"/>
      <x:c r="K75" s="50"/>
      <x:c r="L75" s="50"/>
      <x:c r="M75" s="50"/>
      <x:c r="N75" s="50"/>
      <x:c r="O75" s="50"/>
    </x:row>
    <x:row r="76">
      <x:c r="A76" s="50"/>
      <x:c r="B76" s="64"/>
      <x:c r="C76" s="50"/>
      <x:c r="D76" s="50"/>
      <x:c r="E76" s="50" t="str">
        <x:f>IFERROR(VLOOKUP(D76,Inventory!$B:$C,2,FALSE),"")</x:f>
      </x:c>
      <x:c r="F76" s="65"/>
      <x:c r="G76" s="66"/>
      <x:c r="H76" s="66" t="n">
        <x:f>F76*G76</x:f>
        <x:v>0</x:v>
      </x:c>
      <x:c r="I76" s="50"/>
      <x:c r="J76" s="50"/>
      <x:c r="K76" s="50"/>
      <x:c r="L76" s="50"/>
      <x:c r="M76" s="50"/>
      <x:c r="N76" s="50"/>
      <x:c r="O76" s="50"/>
    </x:row>
    <x:row r="77">
      <x:c r="A77" s="50"/>
      <x:c r="B77" s="64"/>
      <x:c r="C77" s="50"/>
      <x:c r="D77" s="50"/>
      <x:c r="E77" s="50" t="str">
        <x:f>IFERROR(VLOOKUP(D77,Inventory!$B:$C,2,FALSE),"")</x:f>
      </x:c>
      <x:c r="F77" s="65"/>
      <x:c r="G77" s="66"/>
      <x:c r="H77" s="66" t="n">
        <x:f>F77*G77</x:f>
        <x:v>0</x:v>
      </x:c>
      <x:c r="I77" s="50"/>
      <x:c r="J77" s="50"/>
      <x:c r="K77" s="50"/>
      <x:c r="L77" s="50"/>
      <x:c r="M77" s="50"/>
      <x:c r="N77" s="50"/>
      <x:c r="O77" s="50"/>
    </x:row>
    <x:row r="78">
      <x:c r="A78" s="50"/>
      <x:c r="B78" s="64"/>
      <x:c r="C78" s="50"/>
      <x:c r="D78" s="50"/>
      <x:c r="E78" s="50" t="str">
        <x:f>IFERROR(VLOOKUP(D78,Inventory!$B:$C,2,FALSE),"")</x:f>
      </x:c>
      <x:c r="F78" s="65"/>
      <x:c r="G78" s="66"/>
      <x:c r="H78" s="66" t="n">
        <x:f>F78*G78</x:f>
        <x:v>0</x:v>
      </x:c>
      <x:c r="I78" s="50"/>
      <x:c r="J78" s="50"/>
      <x:c r="K78" s="50"/>
      <x:c r="L78" s="50"/>
      <x:c r="M78" s="50"/>
      <x:c r="N78" s="50"/>
      <x:c r="O78" s="50"/>
    </x:row>
    <x:row r="79">
      <x:c r="A79" s="50"/>
      <x:c r="B79" s="64"/>
      <x:c r="C79" s="50"/>
      <x:c r="D79" s="50"/>
      <x:c r="E79" s="50" t="str">
        <x:f>IFERROR(VLOOKUP(D79,Inventory!$B:$C,2,FALSE),"")</x:f>
      </x:c>
      <x:c r="F79" s="65"/>
      <x:c r="G79" s="66"/>
      <x:c r="H79" s="66" t="n">
        <x:f>F79*G79</x:f>
        <x:v>0</x:v>
      </x:c>
      <x:c r="I79" s="50"/>
      <x:c r="J79" s="50"/>
      <x:c r="K79" s="50"/>
      <x:c r="L79" s="50"/>
      <x:c r="M79" s="50"/>
      <x:c r="N79" s="50"/>
      <x:c r="O79" s="50"/>
    </x:row>
    <x:row r="80">
      <x:c r="A80" s="50"/>
      <x:c r="B80" s="64"/>
      <x:c r="C80" s="50"/>
      <x:c r="D80" s="50"/>
      <x:c r="E80" s="50" t="str">
        <x:f>IFERROR(VLOOKUP(D80,Inventory!$B:$C,2,FALSE),"")</x:f>
      </x:c>
      <x:c r="F80" s="65"/>
      <x:c r="G80" s="66"/>
      <x:c r="H80" s="66" t="n">
        <x:f>F80*G80</x:f>
        <x:v>0</x:v>
      </x:c>
      <x:c r="I80" s="50"/>
      <x:c r="J80" s="50"/>
      <x:c r="K80" s="50"/>
      <x:c r="L80" s="50"/>
      <x:c r="M80" s="50"/>
      <x:c r="N80" s="50"/>
      <x:c r="O80" s="50"/>
    </x:row>
    <x:row r="81">
      <x:c r="A81" s="50"/>
      <x:c r="B81" s="64"/>
      <x:c r="C81" s="50"/>
      <x:c r="D81" s="50"/>
      <x:c r="E81" s="50" t="str">
        <x:f>IFERROR(VLOOKUP(D81,Inventory!$B:$C,2,FALSE),"")</x:f>
      </x:c>
      <x:c r="F81" s="65"/>
      <x:c r="G81" s="66"/>
      <x:c r="H81" s="66" t="n">
        <x:f>F81*G81</x:f>
        <x:v>0</x:v>
      </x:c>
      <x:c r="I81" s="50"/>
      <x:c r="J81" s="50"/>
      <x:c r="K81" s="50"/>
      <x:c r="L81" s="50"/>
      <x:c r="M81" s="50"/>
      <x:c r="N81" s="50"/>
      <x:c r="O81" s="50"/>
    </x:row>
    <x:row r="82">
      <x:c r="A82" s="50"/>
      <x:c r="B82" s="64"/>
      <x:c r="C82" s="50"/>
      <x:c r="D82" s="50"/>
      <x:c r="E82" s="50" t="str">
        <x:f>IFERROR(VLOOKUP(D82,Inventory!$B:$C,2,FALSE),"")</x:f>
      </x:c>
      <x:c r="F82" s="65"/>
      <x:c r="G82" s="66"/>
      <x:c r="H82" s="66" t="n">
        <x:f>F82*G82</x:f>
        <x:v>0</x:v>
      </x:c>
      <x:c r="I82" s="50"/>
      <x:c r="J82" s="50"/>
      <x:c r="K82" s="50"/>
      <x:c r="L82" s="50"/>
      <x:c r="M82" s="50"/>
      <x:c r="N82" s="50"/>
      <x:c r="O82" s="50"/>
    </x:row>
    <x:row r="83">
      <x:c r="A83" s="50"/>
      <x:c r="B83" s="64"/>
      <x:c r="C83" s="50"/>
      <x:c r="D83" s="50"/>
      <x:c r="E83" s="50" t="str">
        <x:f>IFERROR(VLOOKUP(D83,Inventory!$B:$C,2,FALSE),"")</x:f>
      </x:c>
      <x:c r="F83" s="65"/>
      <x:c r="G83" s="66"/>
      <x:c r="H83" s="66" t="n">
        <x:f>F83*G83</x:f>
        <x:v>0</x:v>
      </x:c>
      <x:c r="I83" s="50"/>
      <x:c r="J83" s="50"/>
      <x:c r="K83" s="50"/>
      <x:c r="L83" s="50"/>
      <x:c r="M83" s="50"/>
      <x:c r="N83" s="50"/>
      <x:c r="O83" s="50"/>
    </x:row>
    <x:row r="84">
      <x:c r="A84" s="50"/>
      <x:c r="B84" s="64"/>
      <x:c r="C84" s="50"/>
      <x:c r="D84" s="50"/>
      <x:c r="E84" s="50" t="str">
        <x:f>IFERROR(VLOOKUP(D84,Inventory!$B:$C,2,FALSE),"")</x:f>
      </x:c>
      <x:c r="F84" s="65"/>
      <x:c r="G84" s="66"/>
      <x:c r="H84" s="66" t="n">
        <x:f>F84*G84</x:f>
        <x:v>0</x:v>
      </x:c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64"/>
      <x:c r="C85" s="50"/>
      <x:c r="D85" s="50"/>
      <x:c r="E85" s="50" t="str">
        <x:f>IFERROR(VLOOKUP(D85,Inventory!$B:$C,2,FALSE),"")</x:f>
      </x:c>
      <x:c r="F85" s="65"/>
      <x:c r="G85" s="66"/>
      <x:c r="H85" s="66" t="n">
        <x:f>F85*G85</x:f>
        <x:v>0</x:v>
      </x:c>
      <x:c r="I85" s="50"/>
      <x:c r="J85" s="50"/>
      <x:c r="K85" s="50"/>
      <x:c r="L85" s="50"/>
      <x:c r="M85" s="50"/>
      <x:c r="N85" s="50"/>
      <x:c r="O85" s="50"/>
    </x:row>
    <x:row r="86">
      <x:c r="A86" s="50"/>
      <x:c r="B86" s="64"/>
      <x:c r="C86" s="50"/>
      <x:c r="D86" s="50"/>
      <x:c r="E86" s="50" t="str">
        <x:f>IFERROR(VLOOKUP(D86,Inventory!$B:$C,2,FALSE),"")</x:f>
      </x:c>
      <x:c r="F86" s="65"/>
      <x:c r="G86" s="66"/>
      <x:c r="H86" s="66" t="n">
        <x:f>F86*G86</x:f>
        <x:v>0</x:v>
      </x:c>
      <x:c r="I86" s="50"/>
      <x:c r="J86" s="50"/>
      <x:c r="K86" s="50"/>
      <x:c r="L86" s="50"/>
      <x:c r="M86" s="50"/>
      <x:c r="N86" s="50"/>
      <x:c r="O86" s="50"/>
    </x:row>
    <x:row r="87">
      <x:c r="A87" s="50"/>
      <x:c r="B87" s="64"/>
      <x:c r="C87" s="50"/>
      <x:c r="D87" s="50"/>
      <x:c r="E87" s="50" t="str">
        <x:f>IFERROR(VLOOKUP(D87,Inventory!$B:$C,2,FALSE),"")</x:f>
      </x:c>
      <x:c r="F87" s="65"/>
      <x:c r="G87" s="66"/>
      <x:c r="H87" s="66" t="n">
        <x:f>F87*G87</x:f>
        <x:v>0</x:v>
      </x:c>
      <x:c r="I87" s="50"/>
      <x:c r="J87" s="50"/>
      <x:c r="K87" s="50"/>
      <x:c r="L87" s="50"/>
      <x:c r="M87" s="50"/>
      <x:c r="N87" s="50"/>
      <x:c r="O87" s="50"/>
    </x:row>
    <x:row r="88">
      <x:c r="A88" s="50"/>
      <x:c r="B88" s="64"/>
      <x:c r="C88" s="50"/>
      <x:c r="D88" s="50"/>
      <x:c r="E88" s="50" t="str">
        <x:f>IFERROR(VLOOKUP(D88,Inventory!$B:$C,2,FALSE),"")</x:f>
      </x:c>
      <x:c r="F88" s="65"/>
      <x:c r="G88" s="66"/>
      <x:c r="H88" s="66" t="n">
        <x:f>F88*G88</x:f>
        <x:v>0</x:v>
      </x:c>
      <x:c r="I88" s="50"/>
      <x:c r="J88" s="50"/>
      <x:c r="K88" s="50"/>
      <x:c r="L88" s="50"/>
      <x:c r="M88" s="50"/>
      <x:c r="N88" s="50"/>
      <x:c r="O88" s="50"/>
    </x:row>
    <x:row r="89">
      <x:c r="A89" s="50"/>
      <x:c r="B89" s="64"/>
      <x:c r="C89" s="50"/>
      <x:c r="D89" s="50"/>
      <x:c r="E89" s="50" t="str">
        <x:f>IFERROR(VLOOKUP(D89,Inventory!$B:$C,2,FALSE),"")</x:f>
      </x:c>
      <x:c r="F89" s="65"/>
      <x:c r="G89" s="66"/>
      <x:c r="H89" s="66" t="n">
        <x:f>F89*G89</x:f>
        <x:v>0</x:v>
      </x:c>
      <x:c r="I89" s="50"/>
      <x:c r="J89" s="50"/>
      <x:c r="K89" s="50"/>
      <x:c r="L89" s="50"/>
      <x:c r="M89" s="50"/>
      <x:c r="N89" s="50"/>
      <x:c r="O89" s="50"/>
    </x:row>
    <x:row r="90">
      <x:c r="A90" s="50"/>
      <x:c r="B90" s="64"/>
      <x:c r="C90" s="50"/>
      <x:c r="D90" s="50"/>
      <x:c r="E90" s="50" t="str">
        <x:f>IFERROR(VLOOKUP(D90,Inventory!$B:$C,2,FALSE),"")</x:f>
      </x:c>
      <x:c r="F90" s="65"/>
      <x:c r="G90" s="66"/>
      <x:c r="H90" s="66" t="n">
        <x:f>F90*G90</x:f>
        <x:v>0</x:v>
      </x:c>
      <x:c r="I90" s="50"/>
      <x:c r="J90" s="50"/>
      <x:c r="K90" s="50"/>
      <x:c r="L90" s="50"/>
      <x:c r="M90" s="50"/>
      <x:c r="N90" s="50"/>
      <x:c r="O90" s="50"/>
    </x:row>
    <x:row r="91">
      <x:c r="A91" s="50"/>
      <x:c r="B91" s="64"/>
      <x:c r="C91" s="50"/>
      <x:c r="D91" s="50"/>
      <x:c r="E91" s="50" t="str">
        <x:f>IFERROR(VLOOKUP(D91,Inventory!$B:$C,2,FALSE),"")</x:f>
      </x:c>
      <x:c r="F91" s="65"/>
      <x:c r="G91" s="66"/>
      <x:c r="H91" s="66" t="n">
        <x:f>F91*G91</x:f>
        <x:v>0</x:v>
      </x:c>
      <x:c r="I91" s="50"/>
      <x:c r="J91" s="50"/>
      <x:c r="K91" s="50"/>
      <x:c r="L91" s="50"/>
      <x:c r="M91" s="50"/>
      <x:c r="N91" s="50"/>
      <x:c r="O91" s="50"/>
    </x:row>
    <x:row r="92">
      <x:c r="A92" s="50"/>
      <x:c r="B92" s="64"/>
      <x:c r="C92" s="50"/>
      <x:c r="D92" s="50"/>
      <x:c r="E92" s="50" t="str">
        <x:f>IFERROR(VLOOKUP(D92,Inventory!$B:$C,2,FALSE),"")</x:f>
      </x:c>
      <x:c r="F92" s="65"/>
      <x:c r="G92" s="66"/>
      <x:c r="H92" s="66" t="n">
        <x:f>F92*G92</x:f>
        <x:v>0</x:v>
      </x:c>
      <x:c r="I92" s="50"/>
      <x:c r="J92" s="50"/>
      <x:c r="K92" s="50"/>
      <x:c r="L92" s="50"/>
      <x:c r="M92" s="50"/>
      <x:c r="N92" s="50"/>
      <x:c r="O92" s="50"/>
    </x:row>
    <x:row r="93">
      <x:c r="A93" s="50"/>
      <x:c r="B93" s="64"/>
      <x:c r="C93" s="50"/>
      <x:c r="D93" s="50"/>
      <x:c r="E93" s="50" t="str">
        <x:f>IFERROR(VLOOKUP(D93,Inventory!$B:$C,2,FALSE),"")</x:f>
      </x:c>
      <x:c r="F93" s="65"/>
      <x:c r="G93" s="66"/>
      <x:c r="H93" s="66" t="n">
        <x:f>F93*G93</x:f>
        <x:v>0</x:v>
      </x:c>
      <x:c r="I93" s="50"/>
      <x:c r="J93" s="50"/>
      <x:c r="K93" s="50"/>
      <x:c r="L93" s="50"/>
      <x:c r="M93" s="50"/>
      <x:c r="N93" s="50"/>
      <x:c r="O93" s="50"/>
    </x:row>
    <x:row r="94">
      <x:c r="A94" s="50"/>
      <x:c r="B94" s="64"/>
      <x:c r="C94" s="50"/>
      <x:c r="D94" s="50"/>
      <x:c r="E94" s="50" t="str">
        <x:f>IFERROR(VLOOKUP(D94,Inventory!$B:$C,2,FALSE),"")</x:f>
      </x:c>
      <x:c r="F94" s="65"/>
      <x:c r="G94" s="66"/>
      <x:c r="H94" s="66" t="n">
        <x:f>F94*G94</x:f>
        <x:v>0</x:v>
      </x:c>
      <x:c r="I94" s="50"/>
      <x:c r="J94" s="50"/>
      <x:c r="K94" s="50"/>
      <x:c r="L94" s="50"/>
      <x:c r="M94" s="50"/>
      <x:c r="N94" s="50"/>
      <x:c r="O94" s="50"/>
    </x:row>
    <x:row r="95">
      <x:c r="A95" s="50"/>
      <x:c r="B95" s="64"/>
      <x:c r="C95" s="50"/>
      <x:c r="D95" s="50"/>
      <x:c r="E95" s="50" t="str">
        <x:f>IFERROR(VLOOKUP(D95,Inventory!$B:$C,2,FALSE),"")</x:f>
      </x:c>
      <x:c r="F95" s="65"/>
      <x:c r="G95" s="66"/>
      <x:c r="H95" s="66" t="n">
        <x:f>F95*G95</x:f>
        <x:v>0</x:v>
      </x:c>
      <x:c r="I95" s="50"/>
      <x:c r="J95" s="50"/>
      <x:c r="K95" s="50"/>
      <x:c r="L95" s="50"/>
      <x:c r="M95" s="50"/>
      <x:c r="N95" s="50"/>
      <x:c r="O95" s="50"/>
    </x:row>
    <x:row r="96">
      <x:c r="A96" s="50"/>
      <x:c r="B96" s="64"/>
      <x:c r="C96" s="50"/>
      <x:c r="D96" s="50"/>
      <x:c r="E96" s="50" t="str">
        <x:f>IFERROR(VLOOKUP(D96,Inventory!$B:$C,2,FALSE),"")</x:f>
      </x:c>
      <x:c r="F96" s="65"/>
      <x:c r="G96" s="66"/>
      <x:c r="H96" s="66" t="n">
        <x:f>F96*G96</x:f>
        <x:v>0</x:v>
      </x:c>
      <x:c r="I96" s="50"/>
      <x:c r="J96" s="50"/>
      <x:c r="K96" s="50"/>
      <x:c r="L96" s="50"/>
      <x:c r="M96" s="50"/>
      <x:c r="N96" s="50"/>
      <x:c r="O96" s="50"/>
    </x:row>
    <x:row r="97">
      <x:c r="A97" s="50"/>
      <x:c r="B97" s="64"/>
      <x:c r="C97" s="50"/>
      <x:c r="D97" s="50"/>
      <x:c r="E97" s="50" t="str">
        <x:f>IFERROR(VLOOKUP(D97,Inventory!$B:$C,2,FALSE),"")</x:f>
      </x:c>
      <x:c r="F97" s="65"/>
      <x:c r="G97" s="66"/>
      <x:c r="H97" s="66" t="n">
        <x:f>F97*G97</x:f>
        <x:v>0</x:v>
      </x:c>
      <x:c r="I97" s="50"/>
      <x:c r="J97" s="50"/>
      <x:c r="K97" s="50"/>
      <x:c r="L97" s="50"/>
      <x:c r="M97" s="50"/>
      <x:c r="N97" s="50"/>
      <x:c r="O97" s="50"/>
    </x:row>
    <x:row r="98">
      <x:c r="A98" s="50"/>
      <x:c r="B98" s="64"/>
      <x:c r="C98" s="50"/>
      <x:c r="D98" s="50"/>
      <x:c r="E98" s="50" t="str">
        <x:f>IFERROR(VLOOKUP(D98,Inventory!$B:$C,2,FALSE),"")</x:f>
      </x:c>
      <x:c r="F98" s="65"/>
      <x:c r="G98" s="66"/>
      <x:c r="H98" s="66" t="n">
        <x:f>F98*G98</x:f>
        <x:v>0</x:v>
      </x:c>
      <x:c r="I98" s="50"/>
      <x:c r="J98" s="50"/>
      <x:c r="K98" s="50"/>
      <x:c r="L98" s="50"/>
      <x:c r="M98" s="50"/>
      <x:c r="N98" s="50"/>
      <x:c r="O98" s="50"/>
    </x:row>
    <x:row r="99">
      <x:c r="A99" s="50"/>
      <x:c r="B99" s="64"/>
      <x:c r="C99" s="50"/>
      <x:c r="D99" s="50"/>
      <x:c r="E99" s="50" t="str">
        <x:f>IFERROR(VLOOKUP(D99,Inventory!$B:$C,2,FALSE),"")</x:f>
      </x:c>
      <x:c r="F99" s="65"/>
      <x:c r="G99" s="66"/>
      <x:c r="H99" s="66" t="n">
        <x:f>F99*G99</x:f>
        <x:v>0</x:v>
      </x:c>
      <x:c r="I99" s="50"/>
      <x:c r="J99" s="50"/>
      <x:c r="K99" s="50"/>
      <x:c r="L99" s="50"/>
      <x:c r="M99" s="50"/>
      <x:c r="N99" s="50"/>
      <x:c r="O99" s="50"/>
    </x:row>
    <x:row r="100">
      <x:c r="A100" s="50"/>
      <x:c r="B100" s="64"/>
      <x:c r="C100" s="50"/>
      <x:c r="D100" s="50"/>
      <x:c r="E100" s="50" t="str">
        <x:f>IFERROR(VLOOKUP(D100,Inventory!$B:$C,2,FALSE),"")</x:f>
      </x:c>
      <x:c r="F100" s="65"/>
      <x:c r="G100" s="66"/>
      <x:c r="H100" s="66" t="n">
        <x:f>F100*G100</x:f>
        <x:v>0</x:v>
      </x:c>
      <x:c r="I100" s="50"/>
      <x:c r="J100" s="50"/>
      <x:c r="K100" s="50"/>
      <x:c r="L100" s="50"/>
      <x:c r="M100" s="50"/>
      <x:c r="N100" s="50"/>
      <x:c r="O100" s="50"/>
    </x:row>
    <x:row r="101">
      <x:c r="A101" s="50"/>
      <x:c r="B101" s="64"/>
      <x:c r="C101" s="50"/>
      <x:c r="D101" s="50"/>
      <x:c r="E101" s="50" t="str">
        <x:f>IFERROR(VLOOKUP(D101,Inventory!$B:$C,2,FALSE),"")</x:f>
      </x:c>
      <x:c r="F101" s="65"/>
      <x:c r="G101" s="66"/>
      <x:c r="H101" s="66" t="n">
        <x:f>F101*G101</x:f>
        <x:v>0</x:v>
      </x:c>
      <x:c r="I101" s="50"/>
      <x:c r="J101" s="50"/>
      <x:c r="K101" s="50"/>
      <x:c r="L101" s="50"/>
      <x:c r="M101" s="50"/>
      <x:c r="N101" s="50"/>
      <x:c r="O101" s="50"/>
    </x:row>
    <x:row r="102">
      <x:c r="A102" s="50"/>
      <x:c r="B102" s="64"/>
      <x:c r="C102" s="50"/>
      <x:c r="D102" s="50"/>
      <x:c r="E102" s="50" t="str">
        <x:f>IFERROR(VLOOKUP(D102,Inventory!$B:$C,2,FALSE),"")</x:f>
      </x:c>
      <x:c r="F102" s="65"/>
      <x:c r="G102" s="66"/>
      <x:c r="H102" s="66" t="n">
        <x:f>F102*G102</x:f>
        <x:v>0</x:v>
      </x:c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64"/>
      <x:c r="C103" s="50"/>
      <x:c r="D103" s="50"/>
      <x:c r="E103" s="50" t="str">
        <x:f>IFERROR(VLOOKUP(D103,Inventory!$B:$C,2,FALSE),"")</x:f>
      </x:c>
      <x:c r="F103" s="65"/>
      <x:c r="G103" s="66"/>
      <x:c r="H103" s="66" t="n">
        <x:f>F103*G103</x:f>
        <x:v>0</x:v>
      </x:c>
      <x:c r="I103" s="50"/>
      <x:c r="J103" s="50"/>
      <x:c r="K103" s="50"/>
      <x:c r="L103" s="50"/>
      <x:c r="M103" s="50"/>
      <x:c r="N103" s="50"/>
      <x:c r="O103" s="50"/>
    </x:row>
    <x:row r="104">
      <x:c r="A104" s="50"/>
      <x:c r="B104" s="64"/>
      <x:c r="C104" s="50"/>
      <x:c r="D104" s="50"/>
      <x:c r="E104" s="50" t="str">
        <x:f>IFERROR(VLOOKUP(D104,Inventory!$B:$C,2,FALSE),"")</x:f>
      </x:c>
      <x:c r="F104" s="65"/>
      <x:c r="G104" s="66"/>
      <x:c r="H104" s="66" t="n">
        <x:f>F104*G104</x:f>
        <x:v>0</x:v>
      </x:c>
      <x:c r="I104" s="50"/>
      <x:c r="J104" s="50"/>
      <x:c r="K104" s="50"/>
      <x:c r="L104" s="50"/>
      <x:c r="M104" s="50"/>
      <x:c r="N104" s="50"/>
      <x:c r="O104" s="50"/>
    </x:row>
    <x:row r="105">
      <x:c r="A105" s="50"/>
      <x:c r="B105" s="64"/>
      <x:c r="C105" s="50"/>
      <x:c r="D105" s="50"/>
      <x:c r="E105" s="50" t="str">
        <x:f>IFERROR(VLOOKUP(D105,Inventory!$B:$C,2,FALSE),"")</x:f>
      </x:c>
      <x:c r="F105" s="65"/>
      <x:c r="G105" s="66"/>
      <x:c r="H105" s="66" t="n">
        <x:f>F105*G105</x:f>
        <x:v>0</x:v>
      </x:c>
      <x:c r="I105" s="50"/>
      <x:c r="J105" s="50"/>
      <x:c r="K105" s="50"/>
      <x:c r="L105" s="50"/>
      <x:c r="M105" s="50"/>
      <x:c r="N105" s="50"/>
      <x:c r="O105" s="50"/>
    </x:row>
    <x:row r="106">
      <x:c r="A106" s="50"/>
      <x:c r="B106" s="64"/>
      <x:c r="C106" s="50"/>
      <x:c r="D106" s="50"/>
      <x:c r="E106" s="50" t="str">
        <x:f>IFERROR(VLOOKUP(D106,Inventory!$B:$C,2,FALSE),"")</x:f>
      </x:c>
      <x:c r="F106" s="65"/>
      <x:c r="G106" s="66"/>
      <x:c r="H106" s="66" t="n">
        <x:f>F106*G106</x:f>
        <x:v>0</x:v>
      </x:c>
      <x:c r="I106" s="50"/>
      <x:c r="J106" s="50"/>
      <x:c r="K106" s="50"/>
      <x:c r="L106" s="50"/>
      <x:c r="M106" s="50"/>
      <x:c r="N106" s="50"/>
      <x:c r="O106" s="50"/>
    </x:row>
    <x:row r="107">
      <x:c r="A107" s="50"/>
      <x:c r="B107" s="64"/>
      <x:c r="C107" s="50"/>
      <x:c r="D107" s="50"/>
      <x:c r="E107" s="50" t="str">
        <x:f>IFERROR(VLOOKUP(D107,Inventory!$B:$C,2,FALSE),"")</x:f>
      </x:c>
      <x:c r="F107" s="65"/>
      <x:c r="G107" s="66"/>
      <x:c r="H107" s="66" t="n">
        <x:f>F107*G107</x:f>
        <x:v>0</x:v>
      </x:c>
      <x:c r="I107" s="50"/>
      <x:c r="J107" s="50"/>
      <x:c r="K107" s="50"/>
      <x:c r="L107" s="50"/>
      <x:c r="M107" s="50"/>
      <x:c r="N107" s="50"/>
      <x:c r="O107" s="50"/>
    </x:row>
    <x:row r="108">
      <x:c r="A108" s="50"/>
      <x:c r="B108" s="64"/>
      <x:c r="C108" s="50"/>
      <x:c r="D108" s="50"/>
      <x:c r="E108" s="50" t="str">
        <x:f>IFERROR(VLOOKUP(D108,Inventory!$B:$C,2,FALSE),"")</x:f>
      </x:c>
      <x:c r="F108" s="65"/>
      <x:c r="G108" s="66"/>
      <x:c r="H108" s="66" t="n">
        <x:f>F108*G108</x:f>
        <x:v>0</x:v>
      </x:c>
      <x:c r="I108" s="50"/>
      <x:c r="J108" s="50"/>
      <x:c r="K108" s="50"/>
      <x:c r="L108" s="50"/>
      <x:c r="M108" s="50"/>
      <x:c r="N108" s="50"/>
      <x:c r="O108" s="50"/>
    </x:row>
    <x:row r="109">
      <x:c r="A109" s="50"/>
      <x:c r="B109" s="64"/>
      <x:c r="C109" s="50"/>
      <x:c r="D109" s="50"/>
      <x:c r="E109" s="50" t="str">
        <x:f>IFERROR(VLOOKUP(D109,Inventory!$B:$C,2,FALSE),"")</x:f>
      </x:c>
      <x:c r="F109" s="65"/>
      <x:c r="G109" s="66"/>
      <x:c r="H109" s="66" t="n">
        <x:f>F109*G109</x:f>
        <x:v>0</x:v>
      </x:c>
      <x:c r="I109" s="50"/>
      <x:c r="J109" s="50"/>
      <x:c r="K109" s="50"/>
      <x:c r="L109" s="50"/>
      <x:c r="M109" s="50"/>
      <x:c r="N109" s="50"/>
      <x:c r="O109" s="50"/>
    </x:row>
    <x:row r="110">
      <x:c r="A110" s="50"/>
      <x:c r="B110" s="64"/>
      <x:c r="C110" s="50"/>
      <x:c r="D110" s="50"/>
      <x:c r="E110" s="50" t="str">
        <x:f>IFERROR(VLOOKUP(D110,Inventory!$B:$C,2,FALSE),"")</x:f>
      </x:c>
      <x:c r="F110" s="65"/>
      <x:c r="G110" s="66"/>
      <x:c r="H110" s="66" t="n">
        <x:f>F110*G110</x:f>
        <x:v>0</x:v>
      </x:c>
      <x:c r="I110" s="50"/>
      <x:c r="J110" s="50"/>
      <x:c r="K110" s="50"/>
      <x:c r="L110" s="50"/>
      <x:c r="M110" s="50"/>
      <x:c r="N110" s="50"/>
      <x:c r="O110" s="50"/>
    </x:row>
    <x:row r="111">
      <x:c r="A111" s="50"/>
      <x:c r="B111" s="64"/>
      <x:c r="C111" s="50"/>
      <x:c r="D111" s="50"/>
      <x:c r="E111" s="50" t="str">
        <x:f>IFERROR(VLOOKUP(D111,Inventory!$B:$C,2,FALSE),"")</x:f>
      </x:c>
      <x:c r="F111" s="65"/>
      <x:c r="G111" s="66"/>
      <x:c r="H111" s="66" t="n">
        <x:f>F111*G111</x:f>
        <x:v>0</x:v>
      </x:c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64"/>
      <x:c r="C112" s="50"/>
      <x:c r="D112" s="50"/>
      <x:c r="E112" s="50" t="str">
        <x:f>IFERROR(VLOOKUP(D112,Inventory!$B:$C,2,FALSE),"")</x:f>
      </x:c>
      <x:c r="F112" s="65"/>
      <x:c r="G112" s="66"/>
      <x:c r="H112" s="66" t="n">
        <x:f>F112*G112</x:f>
        <x:v>0</x:v>
      </x:c>
      <x:c r="I112" s="50"/>
      <x:c r="J112" s="50"/>
      <x:c r="K112" s="50"/>
      <x:c r="L112" s="50"/>
      <x:c r="M112" s="50"/>
      <x:c r="N112" s="50"/>
      <x:c r="O112" s="50"/>
    </x:row>
    <x:row r="113">
      <x:c r="A113" s="50"/>
      <x:c r="B113" s="64"/>
      <x:c r="C113" s="50"/>
      <x:c r="D113" s="50"/>
      <x:c r="E113" s="50" t="str">
        <x:f>IFERROR(VLOOKUP(D113,Inventory!$B:$C,2,FALSE),"")</x:f>
      </x:c>
      <x:c r="F113" s="65"/>
      <x:c r="G113" s="66"/>
      <x:c r="H113" s="66" t="n">
        <x:f>F113*G113</x:f>
        <x:v>0</x:v>
      </x:c>
      <x:c r="I113" s="50"/>
      <x:c r="J113" s="50"/>
      <x:c r="K113" s="50"/>
      <x:c r="L113" s="50"/>
      <x:c r="M113" s="50"/>
      <x:c r="N113" s="50"/>
      <x:c r="O113" s="50"/>
    </x:row>
    <x:row r="114">
      <x:c r="A114" s="50"/>
      <x:c r="B114" s="64"/>
      <x:c r="C114" s="50"/>
      <x:c r="D114" s="50"/>
      <x:c r="E114" s="50" t="str">
        <x:f>IFERROR(VLOOKUP(D114,Inventory!$B:$C,2,FALSE),"")</x:f>
      </x:c>
      <x:c r="F114" s="65"/>
      <x:c r="G114" s="66"/>
      <x:c r="H114" s="66" t="n">
        <x:f>F114*G114</x:f>
        <x:v>0</x:v>
      </x:c>
      <x:c r="I114" s="50"/>
      <x:c r="J114" s="50"/>
      <x:c r="K114" s="50"/>
      <x:c r="L114" s="50"/>
      <x:c r="M114" s="50"/>
      <x:c r="N114" s="50"/>
      <x:c r="O114" s="50"/>
    </x:row>
    <x:row r="115">
      <x:c r="A115" s="50"/>
      <x:c r="B115" s="64"/>
      <x:c r="C115" s="50"/>
      <x:c r="D115" s="50"/>
      <x:c r="E115" s="50" t="str">
        <x:f>IFERROR(VLOOKUP(D115,Inventory!$B:$C,2,FALSE),"")</x:f>
      </x:c>
      <x:c r="F115" s="65"/>
      <x:c r="G115" s="66"/>
      <x:c r="H115" s="66" t="n">
        <x:f>F115*G115</x:f>
        <x:v>0</x:v>
      </x:c>
      <x:c r="I115" s="50"/>
      <x:c r="J115" s="50"/>
      <x:c r="K115" s="50"/>
      <x:c r="L115" s="50"/>
      <x:c r="M115" s="50"/>
      <x:c r="N115" s="50"/>
      <x:c r="O115" s="50"/>
    </x:row>
    <x:row r="116">
      <x:c r="A116" s="50"/>
      <x:c r="B116" s="64"/>
      <x:c r="C116" s="50"/>
      <x:c r="D116" s="50"/>
      <x:c r="E116" s="50" t="str">
        <x:f>IFERROR(VLOOKUP(D116,Inventory!$B:$C,2,FALSE),"")</x:f>
      </x:c>
      <x:c r="F116" s="65"/>
      <x:c r="G116" s="66"/>
      <x:c r="H116" s="66" t="n">
        <x:f>F116*G116</x:f>
        <x:v>0</x:v>
      </x:c>
      <x:c r="I116" s="50"/>
      <x:c r="J116" s="50"/>
      <x:c r="K116" s="50"/>
      <x:c r="L116" s="50"/>
      <x:c r="M116" s="50"/>
      <x:c r="N116" s="50"/>
      <x:c r="O116" s="50"/>
    </x:row>
    <x:row r="117">
      <x:c r="A117" s="50"/>
      <x:c r="B117" s="64"/>
      <x:c r="C117" s="50"/>
      <x:c r="D117" s="50"/>
      <x:c r="E117" s="50" t="str">
        <x:f>IFERROR(VLOOKUP(D117,Inventory!$B:$C,2,FALSE),"")</x:f>
      </x:c>
      <x:c r="F117" s="65"/>
      <x:c r="G117" s="66"/>
      <x:c r="H117" s="66" t="n">
        <x:f>F117*G117</x:f>
        <x:v>0</x:v>
      </x:c>
      <x:c r="I117" s="50"/>
      <x:c r="J117" s="50"/>
      <x:c r="K117" s="50"/>
      <x:c r="L117" s="50"/>
      <x:c r="M117" s="50"/>
      <x:c r="N117" s="50"/>
      <x:c r="O117" s="50"/>
    </x:row>
    <x:row r="118">
      <x:c r="A118" s="50"/>
      <x:c r="B118" s="64"/>
      <x:c r="C118" s="50"/>
      <x:c r="D118" s="50"/>
      <x:c r="E118" s="50" t="str">
        <x:f>IFERROR(VLOOKUP(D118,Inventory!$B:$C,2,FALSE),"")</x:f>
      </x:c>
      <x:c r="F118" s="65"/>
      <x:c r="G118" s="66"/>
      <x:c r="H118" s="66" t="n">
        <x:f>F118*G118</x:f>
        <x:v>0</x:v>
      </x:c>
      <x:c r="I118" s="50"/>
      <x:c r="J118" s="50"/>
      <x:c r="K118" s="50"/>
      <x:c r="L118" s="50"/>
      <x:c r="M118" s="50"/>
      <x:c r="N118" s="50"/>
      <x:c r="O118" s="50"/>
    </x:row>
    <x:row r="119">
      <x:c r="A119" s="50"/>
      <x:c r="B119" s="64"/>
      <x:c r="C119" s="50"/>
      <x:c r="D119" s="50"/>
      <x:c r="E119" s="50" t="str">
        <x:f>IFERROR(VLOOKUP(D119,Inventory!$B:$C,2,FALSE),"")</x:f>
      </x:c>
      <x:c r="F119" s="65"/>
      <x:c r="G119" s="66"/>
      <x:c r="H119" s="66" t="n">
        <x:f>F119*G119</x:f>
        <x:v>0</x:v>
      </x:c>
      <x:c r="I119" s="50"/>
      <x:c r="J119" s="50"/>
      <x:c r="K119" s="50"/>
      <x:c r="L119" s="50"/>
      <x:c r="M119" s="50"/>
      <x:c r="N119" s="50"/>
      <x:c r="O119" s="50"/>
    </x:row>
    <x:row r="120">
      <x:c r="A120" s="50"/>
      <x:c r="B120" s="64"/>
      <x:c r="C120" s="50"/>
      <x:c r="D120" s="50"/>
      <x:c r="E120" s="50" t="str">
        <x:f>IFERROR(VLOOKUP(D120,Inventory!$B:$C,2,FALSE),"")</x:f>
      </x:c>
      <x:c r="F120" s="65"/>
      <x:c r="G120" s="66"/>
      <x:c r="H120" s="66" t="n">
        <x:f>F120*G120</x:f>
        <x:v>0</x:v>
      </x:c>
      <x:c r="I120" s="50"/>
      <x:c r="J120" s="50"/>
      <x:c r="K120" s="50"/>
      <x:c r="L120" s="50"/>
      <x:c r="M120" s="50"/>
      <x:c r="N120" s="50"/>
      <x:c r="O120" s="50"/>
    </x:row>
    <x:row r="121">
      <x:c r="A121" s="50"/>
      <x:c r="B121" s="64"/>
      <x:c r="C121" s="50"/>
      <x:c r="D121" s="50"/>
      <x:c r="E121" s="50" t="str">
        <x:f>IFERROR(VLOOKUP(D121,Inventory!$B:$C,2,FALSE),"")</x:f>
      </x:c>
      <x:c r="F121" s="65"/>
      <x:c r="G121" s="66"/>
      <x:c r="H121" s="66" t="n">
        <x:f>F121*G121</x:f>
        <x:v>0</x:v>
      </x:c>
      <x:c r="I121" s="50"/>
      <x:c r="J121" s="50"/>
      <x:c r="K121" s="50"/>
      <x:c r="L121" s="50"/>
      <x:c r="M121" s="50"/>
      <x:c r="N121" s="50"/>
      <x:c r="O121" s="50"/>
    </x:row>
    <x:row r="122">
      <x:c r="A122" s="50"/>
      <x:c r="B122" s="64"/>
      <x:c r="C122" s="50"/>
      <x:c r="D122" s="50"/>
      <x:c r="E122" s="50" t="str">
        <x:f>IFERROR(VLOOKUP(D122,Inventory!$B:$C,2,FALSE),"")</x:f>
      </x:c>
      <x:c r="F122" s="65"/>
      <x:c r="G122" s="66"/>
      <x:c r="H122" s="66" t="n">
        <x:f>F122*G122</x:f>
        <x:v>0</x:v>
      </x:c>
      <x:c r="I122" s="50"/>
      <x:c r="J122" s="50"/>
      <x:c r="K122" s="50"/>
      <x:c r="L122" s="50"/>
      <x:c r="M122" s="50"/>
      <x:c r="N122" s="50"/>
      <x:c r="O122" s="50"/>
    </x:row>
    <x:row r="123">
      <x:c r="A123" s="50"/>
      <x:c r="B123" s="64"/>
      <x:c r="C123" s="50"/>
      <x:c r="D123" s="50"/>
      <x:c r="E123" s="50" t="str">
        <x:f>IFERROR(VLOOKUP(D123,Inventory!$B:$C,2,FALSE),"")</x:f>
      </x:c>
      <x:c r="F123" s="65"/>
      <x:c r="G123" s="66"/>
      <x:c r="H123" s="66" t="n">
        <x:f>F123*G123</x:f>
        <x:v>0</x:v>
      </x:c>
      <x:c r="I123" s="50"/>
      <x:c r="J123" s="50"/>
      <x:c r="K123" s="50"/>
      <x:c r="L123" s="50"/>
      <x:c r="M123" s="50"/>
      <x:c r="N123" s="50"/>
      <x:c r="O123" s="50"/>
    </x:row>
    <x:row r="124">
      <x:c r="A124" s="50"/>
      <x:c r="B124" s="64"/>
      <x:c r="C124" s="50"/>
      <x:c r="D124" s="50"/>
      <x:c r="E124" s="50" t="str">
        <x:f>IFERROR(VLOOKUP(D124,Inventory!$B:$C,2,FALSE),"")</x:f>
      </x:c>
      <x:c r="F124" s="65"/>
      <x:c r="G124" s="66"/>
      <x:c r="H124" s="66" t="n">
        <x:f>F124*G124</x:f>
        <x:v>0</x:v>
      </x:c>
      <x:c r="I124" s="50"/>
      <x:c r="J124" s="50"/>
      <x:c r="K124" s="50"/>
      <x:c r="L124" s="50"/>
      <x:c r="M124" s="50"/>
      <x:c r="N124" s="50"/>
      <x:c r="O124" s="50"/>
    </x:row>
    <x:row r="125">
      <x:c r="A125" s="50"/>
      <x:c r="B125" s="64"/>
      <x:c r="C125" s="50"/>
      <x:c r="D125" s="50"/>
      <x:c r="E125" s="50" t="str">
        <x:f>IFERROR(VLOOKUP(D125,Inventory!$B:$C,2,FALSE),"")</x:f>
      </x:c>
      <x:c r="F125" s="65"/>
      <x:c r="G125" s="66"/>
      <x:c r="H125" s="66" t="n">
        <x:f>F125*G125</x:f>
        <x:v>0</x:v>
      </x:c>
      <x:c r="I125" s="50"/>
      <x:c r="J125" s="50"/>
      <x:c r="K125" s="50"/>
      <x:c r="L125" s="50"/>
      <x:c r="M125" s="50"/>
      <x:c r="N125" s="50"/>
      <x:c r="O125" s="50"/>
    </x:row>
    <x:row r="126">
      <x:c r="A126" s="50"/>
      <x:c r="B126" s="64"/>
      <x:c r="C126" s="50"/>
      <x:c r="D126" s="50"/>
      <x:c r="E126" s="50" t="str">
        <x:f>IFERROR(VLOOKUP(D126,Inventory!$B:$C,2,FALSE),"")</x:f>
      </x:c>
      <x:c r="F126" s="65"/>
      <x:c r="G126" s="66"/>
      <x:c r="H126" s="66" t="n">
        <x:f>F126*G126</x:f>
        <x:v>0</x:v>
      </x:c>
      <x:c r="I126" s="50"/>
      <x:c r="J126" s="50"/>
      <x:c r="K126" s="50"/>
      <x:c r="L126" s="50"/>
      <x:c r="M126" s="50"/>
      <x:c r="N126" s="50"/>
      <x:c r="O126" s="50"/>
    </x:row>
    <x:row r="127">
      <x:c r="A127" s="50"/>
      <x:c r="B127" s="64"/>
      <x:c r="C127" s="50"/>
      <x:c r="D127" s="50"/>
      <x:c r="E127" s="50" t="str">
        <x:f>IFERROR(VLOOKUP(D127,Inventory!$B:$C,2,FALSE),"")</x:f>
      </x:c>
      <x:c r="F127" s="65"/>
      <x:c r="G127" s="66"/>
      <x:c r="H127" s="66" t="n">
        <x:f>F127*G127</x:f>
        <x:v>0</x:v>
      </x:c>
      <x:c r="I127" s="50"/>
      <x:c r="J127" s="50"/>
      <x:c r="K127" s="50"/>
      <x:c r="L127" s="50"/>
      <x:c r="M127" s="50"/>
      <x:c r="N127" s="50"/>
      <x:c r="O127" s="50"/>
    </x:row>
    <x:row r="128">
      <x:c r="A128" s="50"/>
      <x:c r="B128" s="64"/>
      <x:c r="C128" s="50"/>
      <x:c r="D128" s="50"/>
      <x:c r="E128" s="50" t="str">
        <x:f>IFERROR(VLOOKUP(D128,Inventory!$B:$C,2,FALSE),"")</x:f>
      </x:c>
      <x:c r="F128" s="65"/>
      <x:c r="G128" s="66"/>
      <x:c r="H128" s="66" t="n">
        <x:f>F128*G128</x:f>
        <x:v>0</x:v>
      </x:c>
      <x:c r="I128" s="50"/>
      <x:c r="J128" s="50"/>
      <x:c r="K128" s="50"/>
      <x:c r="L128" s="50"/>
      <x:c r="M128" s="50"/>
      <x:c r="N128" s="50"/>
      <x:c r="O128" s="50"/>
    </x:row>
    <x:row r="129">
      <x:c r="A129" s="50"/>
      <x:c r="B129" s="64"/>
      <x:c r="C129" s="50"/>
      <x:c r="D129" s="50"/>
      <x:c r="E129" s="50" t="str">
        <x:f>IFERROR(VLOOKUP(D129,Inventory!$B:$C,2,FALSE),"")</x:f>
      </x:c>
      <x:c r="F129" s="65"/>
      <x:c r="G129" s="66"/>
      <x:c r="H129" s="66" t="n">
        <x:f>F129*G129</x:f>
        <x:v>0</x:v>
      </x:c>
      <x:c r="I129" s="50"/>
      <x:c r="J129" s="50"/>
      <x:c r="K129" s="50"/>
      <x:c r="L129" s="50"/>
      <x:c r="M129" s="50"/>
      <x:c r="N129" s="50"/>
      <x:c r="O129" s="50"/>
    </x:row>
    <x:row r="130">
      <x:c r="A130" s="50"/>
      <x:c r="B130" s="64"/>
      <x:c r="C130" s="50"/>
      <x:c r="D130" s="50"/>
      <x:c r="E130" s="50" t="str">
        <x:f>IFERROR(VLOOKUP(D130,Inventory!$B:$C,2,FALSE),"")</x:f>
      </x:c>
      <x:c r="F130" s="65"/>
      <x:c r="G130" s="66"/>
      <x:c r="H130" s="66" t="n">
        <x:f>F130*G130</x:f>
        <x:v>0</x:v>
      </x:c>
      <x:c r="I130" s="50"/>
      <x:c r="J130" s="50"/>
      <x:c r="K130" s="50"/>
      <x:c r="L130" s="50"/>
      <x:c r="M130" s="50"/>
      <x:c r="N130" s="50"/>
      <x:c r="O130" s="50"/>
    </x:row>
    <x:row r="131">
      <x:c r="A131" s="50"/>
      <x:c r="B131" s="64"/>
      <x:c r="C131" s="50"/>
      <x:c r="D131" s="50"/>
      <x:c r="E131" s="50" t="str">
        <x:f>IFERROR(VLOOKUP(D131,Inventory!$B:$C,2,FALSE),"")</x:f>
      </x:c>
      <x:c r="F131" s="65"/>
      <x:c r="G131" s="66"/>
      <x:c r="H131" s="66" t="n">
        <x:f>F131*G131</x:f>
        <x:v>0</x:v>
      </x:c>
      <x:c r="I131" s="50"/>
      <x:c r="J131" s="50"/>
      <x:c r="K131" s="50"/>
      <x:c r="L131" s="50"/>
      <x:c r="M131" s="50"/>
      <x:c r="N131" s="50"/>
      <x:c r="O131" s="50"/>
    </x:row>
    <x:row r="132">
      <x:c r="A132" s="50"/>
      <x:c r="B132" s="64"/>
      <x:c r="C132" s="50"/>
      <x:c r="D132" s="50"/>
      <x:c r="E132" s="50" t="str">
        <x:f>IFERROR(VLOOKUP(D132,Inventory!$B:$C,2,FALSE),"")</x:f>
      </x:c>
      <x:c r="F132" s="65"/>
      <x:c r="G132" s="66"/>
      <x:c r="H132" s="66" t="n">
        <x:f>F132*G132</x:f>
        <x:v>0</x:v>
      </x:c>
      <x:c r="I132" s="50"/>
      <x:c r="J132" s="50"/>
      <x:c r="K132" s="50"/>
      <x:c r="L132" s="50"/>
      <x:c r="M132" s="50"/>
      <x:c r="N132" s="50"/>
      <x:c r="O132" s="50"/>
    </x:row>
    <x:row r="133">
      <x:c r="A133" s="50"/>
      <x:c r="B133" s="64"/>
      <x:c r="C133" s="50"/>
      <x:c r="D133" s="50"/>
      <x:c r="E133" s="50" t="str">
        <x:f>IFERROR(VLOOKUP(D133,Inventory!$B:$C,2,FALSE),"")</x:f>
      </x:c>
      <x:c r="F133" s="65"/>
      <x:c r="G133" s="66"/>
      <x:c r="H133" s="66" t="n">
        <x:f>F133*G133</x:f>
        <x:v>0</x:v>
      </x:c>
      <x:c r="I133" s="50"/>
      <x:c r="J133" s="50"/>
      <x:c r="K133" s="50"/>
      <x:c r="L133" s="50"/>
      <x:c r="M133" s="50"/>
      <x:c r="N133" s="50"/>
      <x:c r="O133" s="50"/>
    </x:row>
    <x:row r="134">
      <x:c r="A134" s="50"/>
      <x:c r="B134" s="64"/>
      <x:c r="C134" s="50"/>
      <x:c r="D134" s="50"/>
      <x:c r="E134" s="50" t="str">
        <x:f>IFERROR(VLOOKUP(D134,Inventory!$B:$C,2,FALSE),"")</x:f>
      </x:c>
      <x:c r="F134" s="65"/>
      <x:c r="G134" s="66"/>
      <x:c r="H134" s="66" t="n">
        <x:f>F134*G134</x:f>
        <x:v>0</x:v>
      </x:c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64"/>
      <x:c r="C135" s="50"/>
      <x:c r="D135" s="50"/>
      <x:c r="E135" s="50" t="str">
        <x:f>IFERROR(VLOOKUP(D135,Inventory!$B:$C,2,FALSE),"")</x:f>
      </x:c>
      <x:c r="F135" s="65"/>
      <x:c r="G135" s="66"/>
      <x:c r="H135" s="66" t="n">
        <x:f>F135*G135</x:f>
        <x:v>0</x:v>
      </x:c>
      <x:c r="I135" s="50"/>
      <x:c r="J135" s="50"/>
      <x:c r="K135" s="50"/>
      <x:c r="L135" s="50"/>
      <x:c r="M135" s="50"/>
      <x:c r="N135" s="50"/>
      <x:c r="O135" s="50"/>
    </x:row>
    <x:row r="136">
      <x:c r="A136" s="50"/>
      <x:c r="B136" s="64"/>
      <x:c r="C136" s="50"/>
      <x:c r="D136" s="50"/>
      <x:c r="E136" s="50" t="str">
        <x:f>IFERROR(VLOOKUP(D136,Inventory!$B:$C,2,FALSE),"")</x:f>
      </x:c>
      <x:c r="F136" s="65"/>
      <x:c r="G136" s="66"/>
      <x:c r="H136" s="66" t="n">
        <x:f>F136*G136</x:f>
        <x:v>0</x:v>
      </x:c>
      <x:c r="I136" s="50"/>
      <x:c r="J136" s="50"/>
      <x:c r="K136" s="50"/>
      <x:c r="L136" s="50"/>
      <x:c r="M136" s="50"/>
      <x:c r="N136" s="50"/>
      <x:c r="O136" s="50"/>
    </x:row>
    <x:row r="137">
      <x:c r="A137" s="50"/>
      <x:c r="B137" s="64"/>
      <x:c r="C137" s="50"/>
      <x:c r="D137" s="50"/>
      <x:c r="E137" s="50" t="str">
        <x:f>IFERROR(VLOOKUP(D137,Inventory!$B:$C,2,FALSE),"")</x:f>
      </x:c>
      <x:c r="F137" s="65"/>
      <x:c r="G137" s="66"/>
      <x:c r="H137" s="66" t="n">
        <x:f>F137*G137</x:f>
        <x:v>0</x:v>
      </x:c>
      <x:c r="I137" s="50"/>
      <x:c r="J137" s="50"/>
      <x:c r="K137" s="50"/>
      <x:c r="L137" s="50"/>
      <x:c r="M137" s="50"/>
      <x:c r="N137" s="50"/>
      <x:c r="O137" s="50"/>
    </x:row>
    <x:row r="138">
      <x:c r="A138" s="50"/>
      <x:c r="B138" s="64"/>
      <x:c r="C138" s="50"/>
      <x:c r="D138" s="50"/>
      <x:c r="E138" s="50" t="str">
        <x:f>IFERROR(VLOOKUP(D138,Inventory!$B:$C,2,FALSE),"")</x:f>
      </x:c>
      <x:c r="F138" s="65"/>
      <x:c r="G138" s="66"/>
      <x:c r="H138" s="66" t="n">
        <x:f>F138*G138</x:f>
        <x:v>0</x:v>
      </x:c>
      <x:c r="I138" s="50"/>
      <x:c r="J138" s="50"/>
      <x:c r="K138" s="50"/>
      <x:c r="L138" s="50"/>
      <x:c r="M138" s="50"/>
      <x:c r="N138" s="50"/>
      <x:c r="O138" s="50"/>
    </x:row>
    <x:row r="139">
      <x:c r="A139" s="50"/>
      <x:c r="B139" s="64"/>
      <x:c r="C139" s="50"/>
      <x:c r="D139" s="50"/>
      <x:c r="E139" s="50" t="str">
        <x:f>IFERROR(VLOOKUP(D139,Inventory!$B:$C,2,FALSE),"")</x:f>
      </x:c>
      <x:c r="F139" s="65"/>
      <x:c r="G139" s="66"/>
      <x:c r="H139" s="66" t="n">
        <x:f>F139*G139</x:f>
        <x:v>0</x:v>
      </x:c>
      <x:c r="I139" s="50"/>
      <x:c r="J139" s="50"/>
      <x:c r="K139" s="50"/>
      <x:c r="L139" s="50"/>
      <x:c r="M139" s="50"/>
      <x:c r="N139" s="50"/>
      <x:c r="O139" s="50"/>
    </x:row>
    <x:row r="140">
      <x:c r="A140" s="50"/>
      <x:c r="B140" s="64"/>
      <x:c r="C140" s="50"/>
      <x:c r="D140" s="50"/>
      <x:c r="E140" s="50" t="str">
        <x:f>IFERROR(VLOOKUP(D140,Inventory!$B:$C,2,FALSE),"")</x:f>
      </x:c>
      <x:c r="F140" s="65"/>
      <x:c r="G140" s="66"/>
      <x:c r="H140" s="66" t="n">
        <x:f>F140*G140</x:f>
        <x:v>0</x:v>
      </x:c>
      <x:c r="I140" s="50"/>
      <x:c r="J140" s="50"/>
      <x:c r="K140" s="50"/>
      <x:c r="L140" s="50"/>
      <x:c r="M140" s="50"/>
      <x:c r="N140" s="50"/>
      <x:c r="O140" s="50"/>
    </x:row>
    <x:row r="141">
      <x:c r="A141" s="50"/>
      <x:c r="B141" s="64"/>
      <x:c r="C141" s="50"/>
      <x:c r="D141" s="50"/>
      <x:c r="E141" s="50" t="str">
        <x:f>IFERROR(VLOOKUP(D141,Inventory!$B:$C,2,FALSE),"")</x:f>
      </x:c>
      <x:c r="F141" s="65"/>
      <x:c r="G141" s="66"/>
      <x:c r="H141" s="66" t="n">
        <x:f>F141*G141</x:f>
        <x:v>0</x:v>
      </x:c>
      <x:c r="I141" s="50"/>
      <x:c r="J141" s="50"/>
      <x:c r="K141" s="50"/>
      <x:c r="L141" s="50"/>
      <x:c r="M141" s="50"/>
      <x:c r="N141" s="50"/>
      <x:c r="O141" s="50"/>
    </x:row>
    <x:row r="142">
      <x:c r="A142" s="50"/>
      <x:c r="B142" s="64"/>
      <x:c r="C142" s="50"/>
      <x:c r="D142" s="50"/>
      <x:c r="E142" s="50" t="str">
        <x:f>IFERROR(VLOOKUP(D142,Inventory!$B:$C,2,FALSE),"")</x:f>
      </x:c>
      <x:c r="F142" s="65"/>
      <x:c r="G142" s="66"/>
      <x:c r="H142" s="66" t="n">
        <x:f>F142*G142</x:f>
        <x:v>0</x:v>
      </x:c>
      <x:c r="I142" s="50"/>
      <x:c r="J142" s="50"/>
      <x:c r="K142" s="50"/>
      <x:c r="L142" s="50"/>
      <x:c r="M142" s="50"/>
      <x:c r="N142" s="50"/>
      <x:c r="O142" s="50"/>
    </x:row>
    <x:row r="143">
      <x:c r="A143" s="50"/>
      <x:c r="B143" s="64"/>
      <x:c r="C143" s="50"/>
      <x:c r="D143" s="50"/>
      <x:c r="E143" s="50" t="str">
        <x:f>IFERROR(VLOOKUP(D143,Inventory!$B:$C,2,FALSE),"")</x:f>
      </x:c>
      <x:c r="F143" s="65"/>
      <x:c r="G143" s="66"/>
      <x:c r="H143" s="66" t="n">
        <x:f>F143*G143</x:f>
        <x:v>0</x:v>
      </x:c>
      <x:c r="I143" s="50"/>
      <x:c r="J143" s="50"/>
      <x:c r="K143" s="50"/>
      <x:c r="L143" s="50"/>
      <x:c r="M143" s="50"/>
      <x:c r="N143" s="50"/>
      <x:c r="O143" s="50"/>
    </x:row>
    <x:row r="144">
      <x:c r="A144" s="50"/>
      <x:c r="B144" s="64"/>
      <x:c r="C144" s="50"/>
      <x:c r="D144" s="50"/>
      <x:c r="E144" s="50" t="str">
        <x:f>IFERROR(VLOOKUP(D144,Inventory!$B:$C,2,FALSE),"")</x:f>
      </x:c>
      <x:c r="F144" s="65"/>
      <x:c r="G144" s="66"/>
      <x:c r="H144" s="66" t="n">
        <x:f>F144*G144</x:f>
        <x:v>0</x:v>
      </x:c>
      <x:c r="I144" s="50"/>
      <x:c r="J144" s="50"/>
      <x:c r="K144" s="50"/>
      <x:c r="L144" s="50"/>
      <x:c r="M144" s="50"/>
      <x:c r="N144" s="50"/>
      <x:c r="O144" s="50"/>
    </x:row>
    <x:row r="145">
      <x:c r="A145" s="50"/>
      <x:c r="B145" s="64"/>
      <x:c r="C145" s="50"/>
      <x:c r="D145" s="50"/>
      <x:c r="E145" s="50" t="str">
        <x:f>IFERROR(VLOOKUP(D145,Inventory!$B:$C,2,FALSE),"")</x:f>
      </x:c>
      <x:c r="F145" s="65"/>
      <x:c r="G145" s="66"/>
      <x:c r="H145" s="66" t="n">
        <x:f>F145*G145</x:f>
        <x:v>0</x:v>
      </x:c>
      <x:c r="I145" s="50"/>
      <x:c r="J145" s="50"/>
      <x:c r="K145" s="50"/>
      <x:c r="L145" s="50"/>
      <x:c r="M145" s="50"/>
      <x:c r="N145" s="50"/>
      <x:c r="O145" s="50"/>
    </x:row>
    <x:row r="146">
      <x:c r="A146" s="50"/>
      <x:c r="B146" s="64"/>
      <x:c r="C146" s="50"/>
      <x:c r="D146" s="50"/>
      <x:c r="E146" s="50" t="str">
        <x:f>IFERROR(VLOOKUP(D146,Inventory!$B:$C,2,FALSE),"")</x:f>
      </x:c>
      <x:c r="F146" s="65"/>
      <x:c r="G146" s="66"/>
      <x:c r="H146" s="66" t="n">
        <x:f>F146*G146</x:f>
        <x:v>0</x:v>
      </x:c>
      <x:c r="I146" s="50"/>
      <x:c r="J146" s="50"/>
      <x:c r="K146" s="50"/>
      <x:c r="L146" s="50"/>
      <x:c r="M146" s="50"/>
      <x:c r="N146" s="50"/>
      <x:c r="O146" s="50"/>
    </x:row>
    <x:row r="147">
      <x:c r="A147" s="50"/>
      <x:c r="B147" s="64"/>
      <x:c r="C147" s="50"/>
      <x:c r="D147" s="50"/>
      <x:c r="E147" s="50" t="str">
        <x:f>IFERROR(VLOOKUP(D147,Inventory!$B:$C,2,FALSE),"")</x:f>
      </x:c>
      <x:c r="F147" s="65"/>
      <x:c r="G147" s="66"/>
      <x:c r="H147" s="66" t="n">
        <x:f>F147*G147</x:f>
        <x:v>0</x:v>
      </x:c>
      <x:c r="I147" s="50"/>
      <x:c r="J147" s="50"/>
      <x:c r="K147" s="50"/>
      <x:c r="L147" s="50"/>
      <x:c r="M147" s="50"/>
      <x:c r="N147" s="50"/>
      <x:c r="O147" s="50"/>
    </x:row>
    <x:row r="148">
      <x:c r="A148" s="50"/>
      <x:c r="B148" s="64"/>
      <x:c r="C148" s="50"/>
      <x:c r="D148" s="50"/>
      <x:c r="E148" s="50" t="str">
        <x:f>IFERROR(VLOOKUP(D148,Inventory!$B:$C,2,FALSE),"")</x:f>
      </x:c>
      <x:c r="F148" s="65"/>
      <x:c r="G148" s="66"/>
      <x:c r="H148" s="66" t="n">
        <x:f>F148*G148</x:f>
        <x:v>0</x:v>
      </x:c>
      <x:c r="I148" s="50"/>
      <x:c r="J148" s="50"/>
      <x:c r="K148" s="50"/>
      <x:c r="L148" s="50"/>
      <x:c r="M148" s="50"/>
      <x:c r="N148" s="50"/>
      <x:c r="O148" s="50"/>
    </x:row>
    <x:row r="149">
      <x:c r="A149" s="50"/>
      <x:c r="B149" s="64"/>
      <x:c r="C149" s="50"/>
      <x:c r="D149" s="50"/>
      <x:c r="E149" s="50" t="str">
        <x:f>IFERROR(VLOOKUP(D149,Inventory!$B:$C,2,FALSE),"")</x:f>
      </x:c>
      <x:c r="F149" s="65"/>
      <x:c r="G149" s="66"/>
      <x:c r="H149" s="66" t="n">
        <x:f>F149*G149</x:f>
        <x:v>0</x:v>
      </x:c>
      <x:c r="I149" s="50"/>
      <x:c r="J149" s="50"/>
      <x:c r="K149" s="50"/>
      <x:c r="L149" s="50"/>
      <x:c r="M149" s="50"/>
      <x:c r="N149" s="50"/>
      <x:c r="O149" s="50"/>
    </x:row>
    <x:row r="150">
      <x:c r="A150" s="50"/>
      <x:c r="B150" s="64"/>
      <x:c r="C150" s="50"/>
      <x:c r="D150" s="50"/>
      <x:c r="E150" s="50" t="str">
        <x:f>IFERROR(VLOOKUP(D150,Inventory!$B:$C,2,FALSE),"")</x:f>
      </x:c>
      <x:c r="F150" s="65"/>
      <x:c r="G150" s="66"/>
      <x:c r="H150" s="66" t="n">
        <x:f>F150*G150</x:f>
        <x:v>0</x:v>
      </x:c>
      <x:c r="I150" s="50"/>
      <x:c r="J150" s="50"/>
      <x:c r="K150" s="50"/>
      <x:c r="L150" s="50"/>
      <x:c r="M150" s="50"/>
      <x:c r="N150" s="50"/>
      <x:c r="O150" s="50"/>
    </x:row>
    <x:row r="151">
      <x:c r="A151" s="50"/>
      <x:c r="B151" s="64"/>
      <x:c r="C151" s="50"/>
      <x:c r="D151" s="50"/>
      <x:c r="E151" s="50" t="str">
        <x:f>IFERROR(VLOOKUP(D151,Inventory!$B:$C,2,FALSE),"")</x:f>
      </x:c>
      <x:c r="F151" s="65"/>
      <x:c r="G151" s="66"/>
      <x:c r="H151" s="66" t="n">
        <x:f>F151*G151</x:f>
        <x:v>0</x:v>
      </x:c>
      <x:c r="I151" s="50"/>
      <x:c r="J151" s="50"/>
      <x:c r="K151" s="50"/>
      <x:c r="L151" s="50"/>
      <x:c r="M151" s="50"/>
      <x:c r="N151" s="50"/>
      <x:c r="O151" s="50"/>
    </x:row>
    <x:row r="152">
      <x:c r="A152" s="50"/>
      <x:c r="B152" s="64"/>
      <x:c r="C152" s="50"/>
      <x:c r="D152" s="50"/>
      <x:c r="E152" s="50" t="str">
        <x:f>IFERROR(VLOOKUP(D152,Inventory!$B:$C,2,FALSE),"")</x:f>
      </x:c>
      <x:c r="F152" s="65"/>
      <x:c r="G152" s="66"/>
      <x:c r="H152" s="66" t="n">
        <x:f>F152*G152</x:f>
        <x:v>0</x:v>
      </x:c>
      <x:c r="I152" s="50"/>
      <x:c r="J152" s="50"/>
      <x:c r="K152" s="50"/>
      <x:c r="L152" s="50"/>
      <x:c r="M152" s="50"/>
      <x:c r="N152" s="50"/>
      <x:c r="O152" s="50"/>
    </x:row>
    <x:row r="153">
      <x:c r="A153" s="50"/>
      <x:c r="B153" s="64"/>
      <x:c r="C153" s="50"/>
      <x:c r="D153" s="50"/>
      <x:c r="E153" s="50" t="str">
        <x:f>IFERROR(VLOOKUP(D153,Inventory!$B:$C,2,FALSE),"")</x:f>
      </x:c>
      <x:c r="F153" s="65"/>
      <x:c r="G153" s="66"/>
      <x:c r="H153" s="66" t="n">
        <x:f>F153*G153</x:f>
        <x:v>0</x:v>
      </x:c>
      <x:c r="I153" s="50"/>
      <x:c r="J153" s="50"/>
      <x:c r="K153" s="50"/>
      <x:c r="L153" s="50"/>
      <x:c r="M153" s="50"/>
      <x:c r="N153" s="50"/>
      <x:c r="O153" s="50"/>
    </x:row>
    <x:row r="154">
      <x:c r="A154" s="50"/>
      <x:c r="B154" s="64"/>
      <x:c r="C154" s="50"/>
      <x:c r="D154" s="50"/>
      <x:c r="E154" s="50" t="str">
        <x:f>IFERROR(VLOOKUP(D154,Inventory!$B:$C,2,FALSE),"")</x:f>
      </x:c>
      <x:c r="F154" s="65"/>
      <x:c r="G154" s="66"/>
      <x:c r="H154" s="66" t="n">
        <x:f>F154*G154</x:f>
        <x:v>0</x:v>
      </x:c>
      <x:c r="I154" s="50"/>
      <x:c r="J154" s="50"/>
      <x:c r="K154" s="50"/>
      <x:c r="L154" s="50"/>
      <x:c r="M154" s="50"/>
      <x:c r="N154" s="50"/>
      <x:c r="O154" s="50"/>
    </x:row>
    <x:row r="155">
      <x:c r="A155" s="50"/>
      <x:c r="B155" s="64"/>
      <x:c r="C155" s="50"/>
      <x:c r="D155" s="50"/>
      <x:c r="E155" s="50" t="str">
        <x:f>IFERROR(VLOOKUP(D155,Inventory!$B:$C,2,FALSE),"")</x:f>
      </x:c>
      <x:c r="F155" s="65"/>
      <x:c r="G155" s="66"/>
      <x:c r="H155" s="66" t="n">
        <x:f>F155*G155</x:f>
        <x:v>0</x:v>
      </x:c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64"/>
      <x:c r="C156" s="50"/>
      <x:c r="D156" s="50"/>
      <x:c r="E156" s="50" t="str">
        <x:f>IFERROR(VLOOKUP(D156,Inventory!$B:$C,2,FALSE),"")</x:f>
      </x:c>
      <x:c r="F156" s="65"/>
      <x:c r="G156" s="66"/>
      <x:c r="H156" s="66" t="n">
        <x:f>F156*G156</x:f>
        <x:v>0</x:v>
      </x:c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64"/>
      <x:c r="C157" s="50"/>
      <x:c r="D157" s="50"/>
      <x:c r="E157" s="50" t="str">
        <x:f>IFERROR(VLOOKUP(D157,Inventory!$B:$C,2,FALSE),"")</x:f>
      </x:c>
      <x:c r="F157" s="65"/>
      <x:c r="G157" s="66"/>
      <x:c r="H157" s="66" t="n">
        <x:f>F157*G157</x:f>
        <x:v>0</x:v>
      </x:c>
      <x:c r="I157" s="50"/>
      <x:c r="J157" s="50"/>
      <x:c r="K157" s="50"/>
      <x:c r="L157" s="50"/>
      <x:c r="M157" s="50"/>
      <x:c r="N157" s="50"/>
      <x:c r="O157" s="50"/>
    </x:row>
    <x:row r="158">
      <x:c r="A158" s="50"/>
      <x:c r="B158" s="64"/>
      <x:c r="C158" s="50"/>
      <x:c r="D158" s="50"/>
      <x:c r="E158" s="50" t="str">
        <x:f>IFERROR(VLOOKUP(D158,Inventory!$B:$C,2,FALSE),"")</x:f>
      </x:c>
      <x:c r="F158" s="65"/>
      <x:c r="G158" s="66"/>
      <x:c r="H158" s="66" t="n">
        <x:f>F158*G158</x:f>
        <x:v>0</x:v>
      </x:c>
      <x:c r="I158" s="50"/>
      <x:c r="J158" s="50"/>
      <x:c r="K158" s="50"/>
      <x:c r="L158" s="50"/>
      <x:c r="M158" s="50"/>
      <x:c r="N158" s="50"/>
      <x:c r="O158" s="50"/>
    </x:row>
    <x:row r="159">
      <x:c r="A159" s="50"/>
      <x:c r="B159" s="64"/>
      <x:c r="C159" s="50"/>
      <x:c r="D159" s="50"/>
      <x:c r="E159" s="50" t="str">
        <x:f>IFERROR(VLOOKUP(D159,Inventory!$B:$C,2,FALSE),"")</x:f>
      </x:c>
      <x:c r="F159" s="65"/>
      <x:c r="G159" s="66"/>
      <x:c r="H159" s="66" t="n">
        <x:f>F159*G159</x:f>
        <x:v>0</x:v>
      </x:c>
      <x:c r="I159" s="50"/>
      <x:c r="J159" s="50"/>
      <x:c r="K159" s="50"/>
      <x:c r="L159" s="50"/>
      <x:c r="M159" s="50"/>
      <x:c r="N159" s="50"/>
      <x:c r="O159" s="50"/>
    </x:row>
    <x:row r="160">
      <x:c r="A160" s="50"/>
      <x:c r="B160" s="64"/>
      <x:c r="C160" s="50"/>
      <x:c r="D160" s="50"/>
      <x:c r="E160" s="50" t="str">
        <x:f>IFERROR(VLOOKUP(D160,Inventory!$B:$C,2,FALSE),"")</x:f>
      </x:c>
      <x:c r="F160" s="65"/>
      <x:c r="G160" s="66"/>
      <x:c r="H160" s="66" t="n">
        <x:f>F160*G160</x:f>
        <x:v>0</x:v>
      </x:c>
      <x:c r="I160" s="50"/>
      <x:c r="J160" s="50"/>
      <x:c r="K160" s="50"/>
      <x:c r="L160" s="50"/>
      <x:c r="M160" s="50"/>
      <x:c r="N160" s="50"/>
      <x:c r="O160" s="50"/>
    </x:row>
    <x:row r="161">
      <x:c r="A161" s="50"/>
      <x:c r="B161" s="64"/>
      <x:c r="C161" s="50"/>
      <x:c r="D161" s="50"/>
      <x:c r="E161" s="50" t="str">
        <x:f>IFERROR(VLOOKUP(D161,Inventory!$B:$C,2,FALSE),"")</x:f>
      </x:c>
      <x:c r="F161" s="65"/>
      <x:c r="G161" s="66"/>
      <x:c r="H161" s="66" t="n">
        <x:f>F161*G161</x:f>
        <x:v>0</x:v>
      </x:c>
      <x:c r="I161" s="50"/>
      <x:c r="J161" s="50"/>
      <x:c r="K161" s="50"/>
      <x:c r="L161" s="50"/>
      <x:c r="M161" s="50"/>
      <x:c r="N161" s="50"/>
      <x:c r="O161" s="50"/>
    </x:row>
    <x:row r="162">
      <x:c r="A162" s="50"/>
      <x:c r="B162" s="64"/>
      <x:c r="C162" s="50"/>
      <x:c r="D162" s="50"/>
      <x:c r="E162" s="50" t="str">
        <x:f>IFERROR(VLOOKUP(D162,Inventory!$B:$C,2,FALSE),"")</x:f>
      </x:c>
      <x:c r="F162" s="65"/>
      <x:c r="G162" s="66"/>
      <x:c r="H162" s="66" t="n">
        <x:f>F162*G162</x:f>
        <x:v>0</x:v>
      </x:c>
      <x:c r="I162" s="50"/>
      <x:c r="J162" s="50"/>
      <x:c r="K162" s="50"/>
      <x:c r="L162" s="50"/>
      <x:c r="M162" s="50"/>
      <x:c r="N162" s="50"/>
      <x:c r="O162" s="50"/>
    </x:row>
    <x:row r="163">
      <x:c r="A163" s="50"/>
      <x:c r="B163" s="64"/>
      <x:c r="C163" s="50"/>
      <x:c r="D163" s="50"/>
      <x:c r="E163" s="50" t="str">
        <x:f>IFERROR(VLOOKUP(D163,Inventory!$B:$C,2,FALSE),"")</x:f>
      </x:c>
      <x:c r="F163" s="65"/>
      <x:c r="G163" s="66"/>
      <x:c r="H163" s="66" t="n">
        <x:f>F163*G163</x:f>
        <x:v>0</x:v>
      </x:c>
      <x:c r="I163" s="50"/>
      <x:c r="J163" s="50"/>
      <x:c r="K163" s="50"/>
      <x:c r="L163" s="50"/>
      <x:c r="M163" s="50"/>
      <x:c r="N163" s="50"/>
      <x:c r="O163" s="50"/>
    </x:row>
    <x:row r="164">
      <x:c r="A164" s="50"/>
      <x:c r="B164" s="64"/>
      <x:c r="C164" s="50"/>
      <x:c r="D164" s="50"/>
      <x:c r="E164" s="50" t="str">
        <x:f>IFERROR(VLOOKUP(D164,Inventory!$B:$C,2,FALSE),"")</x:f>
      </x:c>
      <x:c r="F164" s="65"/>
      <x:c r="G164" s="66"/>
      <x:c r="H164" s="66" t="n">
        <x:f>F164*G164</x:f>
        <x:v>0</x:v>
      </x:c>
      <x:c r="I164" s="50"/>
      <x:c r="J164" s="50"/>
      <x:c r="K164" s="50"/>
      <x:c r="L164" s="50"/>
      <x:c r="M164" s="50"/>
      <x:c r="N164" s="50"/>
      <x:c r="O164" s="50"/>
    </x:row>
    <x:row r="165">
      <x:c r="A165" s="50"/>
      <x:c r="B165" s="64"/>
      <x:c r="C165" s="50"/>
      <x:c r="D165" s="50"/>
      <x:c r="E165" s="50" t="str">
        <x:f>IFERROR(VLOOKUP(D165,Inventory!$B:$C,2,FALSE),"")</x:f>
      </x:c>
      <x:c r="F165" s="65"/>
      <x:c r="G165" s="66"/>
      <x:c r="H165" s="66" t="n">
        <x:f>F165*G165</x:f>
        <x:v>0</x:v>
      </x:c>
      <x:c r="I165" s="50"/>
      <x:c r="J165" s="50"/>
      <x:c r="K165" s="50"/>
      <x:c r="L165" s="50"/>
      <x:c r="M165" s="50"/>
      <x:c r="N165" s="50"/>
      <x:c r="O165" s="50"/>
    </x:row>
    <x:row r="166">
      <x:c r="A166" s="50"/>
      <x:c r="B166" s="64"/>
      <x:c r="C166" s="50"/>
      <x:c r="D166" s="50"/>
      <x:c r="E166" s="50" t="str">
        <x:f>IFERROR(VLOOKUP(D166,Inventory!$B:$C,2,FALSE),"")</x:f>
      </x:c>
      <x:c r="F166" s="65"/>
      <x:c r="G166" s="66"/>
      <x:c r="H166" s="66" t="n">
        <x:f>F166*G166</x:f>
        <x:v>0</x:v>
      </x:c>
      <x:c r="I166" s="50"/>
      <x:c r="J166" s="50"/>
      <x:c r="K166" s="50"/>
      <x:c r="L166" s="50"/>
      <x:c r="M166" s="50"/>
      <x:c r="N166" s="50"/>
      <x:c r="O166" s="50"/>
    </x:row>
    <x:row r="167">
      <x:c r="A167" s="50"/>
      <x:c r="B167" s="64"/>
      <x:c r="C167" s="50"/>
      <x:c r="D167" s="50"/>
      <x:c r="E167" s="50" t="str">
        <x:f>IFERROR(VLOOKUP(D167,Inventory!$B:$C,2,FALSE),"")</x:f>
      </x:c>
      <x:c r="F167" s="65"/>
      <x:c r="G167" s="66"/>
      <x:c r="H167" s="66" t="n">
        <x:f>F167*G167</x:f>
        <x:v>0</x:v>
      </x:c>
      <x:c r="I167" s="50"/>
      <x:c r="J167" s="50"/>
      <x:c r="K167" s="50"/>
      <x:c r="L167" s="50"/>
      <x:c r="M167" s="50"/>
      <x:c r="N167" s="50"/>
      <x:c r="O167" s="50"/>
    </x:row>
    <x:row r="168">
      <x:c r="A168" s="50"/>
      <x:c r="B168" s="64"/>
      <x:c r="C168" s="50"/>
      <x:c r="D168" s="50"/>
      <x:c r="E168" s="50" t="str">
        <x:f>IFERROR(VLOOKUP(D168,Inventory!$B:$C,2,FALSE),"")</x:f>
      </x:c>
      <x:c r="F168" s="65"/>
      <x:c r="G168" s="66"/>
      <x:c r="H168" s="66" t="n">
        <x:f>F168*G168</x:f>
        <x:v>0</x:v>
      </x:c>
      <x:c r="I168" s="50"/>
      <x:c r="J168" s="50"/>
      <x:c r="K168" s="50"/>
      <x:c r="L168" s="50"/>
      <x:c r="M168" s="50"/>
      <x:c r="N168" s="50"/>
      <x:c r="O168" s="50"/>
    </x:row>
    <x:row r="169">
      <x:c r="A169" s="50"/>
      <x:c r="B169" s="64"/>
      <x:c r="C169" s="50"/>
      <x:c r="D169" s="50"/>
      <x:c r="E169" s="50" t="str">
        <x:f>IFERROR(VLOOKUP(D169,Inventory!$B:$C,2,FALSE),"")</x:f>
      </x:c>
      <x:c r="F169" s="65"/>
      <x:c r="G169" s="66"/>
      <x:c r="H169" s="66" t="n">
        <x:f>F169*G169</x:f>
        <x:v>0</x:v>
      </x:c>
      <x:c r="I169" s="50"/>
      <x:c r="J169" s="50"/>
      <x:c r="K169" s="50"/>
      <x:c r="L169" s="50"/>
      <x:c r="M169" s="50"/>
      <x:c r="N169" s="50"/>
      <x:c r="O169" s="50"/>
    </x:row>
    <x:row r="170">
      <x:c r="A170" s="50"/>
      <x:c r="B170" s="64"/>
      <x:c r="C170" s="50"/>
      <x:c r="D170" s="50"/>
      <x:c r="E170" s="50" t="str">
        <x:f>IFERROR(VLOOKUP(D170,Inventory!$B:$C,2,FALSE),"")</x:f>
      </x:c>
      <x:c r="F170" s="65"/>
      <x:c r="G170" s="66"/>
      <x:c r="H170" s="66" t="n">
        <x:f>F170*G170</x:f>
        <x:v>0</x:v>
      </x:c>
      <x:c r="I170" s="50"/>
      <x:c r="J170" s="50"/>
      <x:c r="K170" s="50"/>
      <x:c r="L170" s="50"/>
      <x:c r="M170" s="50"/>
      <x:c r="N170" s="50"/>
      <x:c r="O170" s="50"/>
    </x:row>
    <x:row r="171">
      <x:c r="A171" s="50"/>
      <x:c r="B171" s="64"/>
      <x:c r="C171" s="50"/>
      <x:c r="D171" s="50"/>
      <x:c r="E171" s="50" t="str">
        <x:f>IFERROR(VLOOKUP(D171,Inventory!$B:$C,2,FALSE),"")</x:f>
      </x:c>
      <x:c r="F171" s="65"/>
      <x:c r="G171" s="66"/>
      <x:c r="H171" s="66" t="n">
        <x:f>F171*G171</x:f>
        <x:v>0</x:v>
      </x:c>
      <x:c r="I171" s="50"/>
      <x:c r="J171" s="50"/>
      <x:c r="K171" s="50"/>
      <x:c r="L171" s="50"/>
      <x:c r="M171" s="50"/>
      <x:c r="N171" s="50"/>
      <x:c r="O171" s="50"/>
    </x:row>
    <x:row r="172">
      <x:c r="A172" s="50"/>
      <x:c r="B172" s="64"/>
      <x:c r="C172" s="50"/>
      <x:c r="D172" s="50"/>
      <x:c r="E172" s="50" t="str">
        <x:f>IFERROR(VLOOKUP(D172,Inventory!$B:$C,2,FALSE),"")</x:f>
      </x:c>
      <x:c r="F172" s="65"/>
      <x:c r="G172" s="66"/>
      <x:c r="H172" s="66" t="n">
        <x:f>F172*G172</x:f>
        <x:v>0</x:v>
      </x:c>
      <x:c r="I172" s="50"/>
      <x:c r="J172" s="50"/>
      <x:c r="K172" s="50"/>
      <x:c r="L172" s="50"/>
      <x:c r="M172" s="50"/>
      <x:c r="N172" s="50"/>
      <x:c r="O172" s="50"/>
    </x:row>
    <x:row r="173">
      <x:c r="A173" s="50"/>
      <x:c r="B173" s="64"/>
      <x:c r="C173" s="50"/>
      <x:c r="D173" s="50"/>
      <x:c r="E173" s="50" t="str">
        <x:f>IFERROR(VLOOKUP(D173,Inventory!$B:$C,2,FALSE),"")</x:f>
      </x:c>
      <x:c r="F173" s="65"/>
      <x:c r="G173" s="66"/>
      <x:c r="H173" s="66" t="n">
        <x:f>F173*G173</x:f>
        <x:v>0</x:v>
      </x:c>
      <x:c r="I173" s="50"/>
      <x:c r="J173" s="50"/>
      <x:c r="K173" s="50"/>
      <x:c r="L173" s="50"/>
      <x:c r="M173" s="50"/>
      <x:c r="N173" s="50"/>
      <x:c r="O173" s="50"/>
    </x:row>
    <x:row r="174">
      <x:c r="A174" s="50"/>
      <x:c r="B174" s="64"/>
      <x:c r="C174" s="50"/>
      <x:c r="D174" s="50"/>
      <x:c r="E174" s="50" t="str">
        <x:f>IFERROR(VLOOKUP(D174,Inventory!$B:$C,2,FALSE),"")</x:f>
      </x:c>
      <x:c r="F174" s="65"/>
      <x:c r="G174" s="66"/>
      <x:c r="H174" s="66" t="n">
        <x:f>F174*G174</x:f>
        <x:v>0</x:v>
      </x:c>
      <x:c r="I174" s="50"/>
      <x:c r="J174" s="50"/>
      <x:c r="K174" s="50"/>
      <x:c r="L174" s="50"/>
      <x:c r="M174" s="50"/>
      <x:c r="N174" s="50"/>
      <x:c r="O174" s="50"/>
    </x:row>
    <x:row r="175">
      <x:c r="A175" s="50"/>
      <x:c r="B175" s="64"/>
      <x:c r="C175" s="50"/>
      <x:c r="D175" s="50"/>
      <x:c r="E175" s="50" t="str">
        <x:f>IFERROR(VLOOKUP(D175,Inventory!$B:$C,2,FALSE),"")</x:f>
      </x:c>
      <x:c r="F175" s="65"/>
      <x:c r="G175" s="66"/>
      <x:c r="H175" s="66" t="n">
        <x:f>F175*G175</x:f>
        <x:v>0</x:v>
      </x:c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64"/>
      <x:c r="C176" s="50"/>
      <x:c r="D176" s="50"/>
      <x:c r="E176" s="50" t="str">
        <x:f>IFERROR(VLOOKUP(D176,Inventory!$B:$C,2,FALSE),"")</x:f>
      </x:c>
      <x:c r="F176" s="65"/>
      <x:c r="G176" s="66"/>
      <x:c r="H176" s="66" t="n">
        <x:f>F176*G176</x:f>
        <x:v>0</x:v>
      </x:c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64"/>
      <x:c r="C177" s="50"/>
      <x:c r="D177" s="50"/>
      <x:c r="E177" s="50" t="str">
        <x:f>IFERROR(VLOOKUP(D177,Inventory!$B:$C,2,FALSE),"")</x:f>
      </x:c>
      <x:c r="F177" s="65"/>
      <x:c r="G177" s="66"/>
      <x:c r="H177" s="66" t="n">
        <x:f>F177*G177</x:f>
        <x:v>0</x:v>
      </x:c>
      <x:c r="I177" s="50"/>
      <x:c r="J177" s="50"/>
      <x:c r="K177" s="50"/>
      <x:c r="L177" s="50"/>
      <x:c r="M177" s="50"/>
      <x:c r="N177" s="50"/>
      <x:c r="O177" s="50"/>
    </x:row>
    <x:row r="178">
      <x:c r="A178" s="50"/>
      <x:c r="B178" s="64"/>
      <x:c r="C178" s="50"/>
      <x:c r="D178" s="50"/>
      <x:c r="E178" s="50" t="str">
        <x:f>IFERROR(VLOOKUP(D178,Inventory!$B:$C,2,FALSE),"")</x:f>
      </x:c>
      <x:c r="F178" s="65"/>
      <x:c r="G178" s="66"/>
      <x:c r="H178" s="66" t="n">
        <x:f>F178*G178</x:f>
        <x:v>0</x:v>
      </x:c>
      <x:c r="I178" s="50"/>
      <x:c r="J178" s="50"/>
      <x:c r="K178" s="50"/>
      <x:c r="L178" s="50"/>
      <x:c r="M178" s="50"/>
      <x:c r="N178" s="50"/>
      <x:c r="O178" s="50"/>
    </x:row>
    <x:row r="179">
      <x:c r="A179" s="50"/>
      <x:c r="B179" s="64"/>
      <x:c r="C179" s="50"/>
      <x:c r="D179" s="50"/>
      <x:c r="E179" s="50" t="str">
        <x:f>IFERROR(VLOOKUP(D179,Inventory!$B:$C,2,FALSE),"")</x:f>
      </x:c>
      <x:c r="F179" s="65"/>
      <x:c r="G179" s="66"/>
      <x:c r="H179" s="66" t="n">
        <x:f>F179*G179</x:f>
        <x:v>0</x:v>
      </x:c>
      <x:c r="I179" s="50"/>
      <x:c r="J179" s="50"/>
      <x:c r="K179" s="50"/>
      <x:c r="L179" s="50"/>
      <x:c r="M179" s="50"/>
      <x:c r="N179" s="50"/>
      <x:c r="O179" s="50"/>
    </x:row>
    <x:row r="180">
      <x:c r="A180" s="50"/>
      <x:c r="B180" s="64"/>
      <x:c r="C180" s="50"/>
      <x:c r="D180" s="50"/>
      <x:c r="E180" s="50" t="str">
        <x:f>IFERROR(VLOOKUP(D180,Inventory!$B:$C,2,FALSE),"")</x:f>
      </x:c>
      <x:c r="F180" s="65"/>
      <x:c r="G180" s="66"/>
      <x:c r="H180" s="66" t="n">
        <x:f>F180*G180</x:f>
        <x:v>0</x:v>
      </x:c>
      <x:c r="I180" s="50"/>
      <x:c r="J180" s="50"/>
      <x:c r="K180" s="50"/>
      <x:c r="L180" s="50"/>
      <x:c r="M180" s="50"/>
      <x:c r="N180" s="50"/>
      <x:c r="O180" s="50"/>
    </x:row>
    <x:row r="181">
      <x:c r="A181" s="50"/>
      <x:c r="B181" s="64"/>
      <x:c r="C181" s="50"/>
      <x:c r="D181" s="50"/>
      <x:c r="E181" s="50" t="str">
        <x:f>IFERROR(VLOOKUP(D181,Inventory!$B:$C,2,FALSE),"")</x:f>
      </x:c>
      <x:c r="F181" s="65"/>
      <x:c r="G181" s="66"/>
      <x:c r="H181" s="66" t="n">
        <x:f>F181*G181</x:f>
        <x:v>0</x:v>
      </x:c>
      <x:c r="I181" s="50"/>
      <x:c r="J181" s="50"/>
      <x:c r="K181" s="50"/>
      <x:c r="L181" s="50"/>
      <x:c r="M181" s="50"/>
      <x:c r="N181" s="50"/>
      <x:c r="O181" s="50"/>
    </x:row>
    <x:row r="182">
      <x:c r="A182" s="50"/>
      <x:c r="B182" s="64"/>
      <x:c r="C182" s="50"/>
      <x:c r="D182" s="50"/>
      <x:c r="E182" s="50" t="str">
        <x:f>IFERROR(VLOOKUP(D182,Inventory!$B:$C,2,FALSE),"")</x:f>
      </x:c>
      <x:c r="F182" s="65"/>
      <x:c r="G182" s="66"/>
      <x:c r="H182" s="66" t="n">
        <x:f>F182*G182</x:f>
        <x:v>0</x:v>
      </x:c>
      <x:c r="I182" s="50"/>
      <x:c r="J182" s="50"/>
      <x:c r="K182" s="50"/>
      <x:c r="L182" s="50"/>
      <x:c r="M182" s="50"/>
      <x:c r="N182" s="50"/>
      <x:c r="O182" s="50"/>
    </x:row>
    <x:row r="183">
      <x:c r="A183" s="50"/>
      <x:c r="B183" s="64"/>
      <x:c r="C183" s="50"/>
      <x:c r="D183" s="50"/>
      <x:c r="E183" s="50" t="str">
        <x:f>IFERROR(VLOOKUP(D183,Inventory!$B:$C,2,FALSE),"")</x:f>
      </x:c>
      <x:c r="F183" s="65"/>
      <x:c r="G183" s="66"/>
      <x:c r="H183" s="66" t="n">
        <x:f>F183*G183</x:f>
        <x:v>0</x:v>
      </x:c>
      <x:c r="I183" s="50"/>
      <x:c r="J183" s="50"/>
      <x:c r="K183" s="50"/>
      <x:c r="L183" s="50"/>
      <x:c r="M183" s="50"/>
      <x:c r="N183" s="50"/>
      <x:c r="O183" s="50"/>
    </x:row>
    <x:row r="184">
      <x:c r="A184" s="50"/>
      <x:c r="B184" s="64"/>
      <x:c r="C184" s="50"/>
      <x:c r="D184" s="50"/>
      <x:c r="E184" s="50" t="str">
        <x:f>IFERROR(VLOOKUP(D184,Inventory!$B:$C,2,FALSE),"")</x:f>
      </x:c>
      <x:c r="F184" s="65"/>
      <x:c r="G184" s="66"/>
      <x:c r="H184" s="66" t="n">
        <x:f>F184*G184</x:f>
        <x:v>0</x:v>
      </x:c>
      <x:c r="I184" s="50"/>
      <x:c r="J184" s="50"/>
      <x:c r="K184" s="50"/>
      <x:c r="L184" s="50"/>
      <x:c r="M184" s="50"/>
      <x:c r="N184" s="50"/>
      <x:c r="O184" s="50"/>
    </x:row>
    <x:row r="185">
      <x:c r="A185" s="50"/>
      <x:c r="B185" s="64"/>
      <x:c r="C185" s="50"/>
      <x:c r="D185" s="50"/>
      <x:c r="E185" s="50" t="str">
        <x:f>IFERROR(VLOOKUP(D185,Inventory!$B:$C,2,FALSE),"")</x:f>
      </x:c>
      <x:c r="F185" s="65"/>
      <x:c r="G185" s="66"/>
      <x:c r="H185" s="66" t="n">
        <x:f>F185*G185</x:f>
        <x:v>0</x:v>
      </x:c>
      <x:c r="I185" s="50"/>
      <x:c r="J185" s="50"/>
      <x:c r="K185" s="50"/>
      <x:c r="L185" s="50"/>
      <x:c r="M185" s="50"/>
      <x:c r="N185" s="50"/>
      <x:c r="O185" s="50"/>
    </x:row>
    <x:row r="186">
      <x:c r="A186" s="50"/>
      <x:c r="B186" s="64"/>
      <x:c r="C186" s="50"/>
      <x:c r="D186" s="50"/>
      <x:c r="E186" s="50" t="str">
        <x:f>IFERROR(VLOOKUP(D186,Inventory!$B:$C,2,FALSE),"")</x:f>
      </x:c>
      <x:c r="F186" s="65"/>
      <x:c r="G186" s="66"/>
      <x:c r="H186" s="66" t="n">
        <x:f>F186*G186</x:f>
        <x:v>0</x:v>
      </x:c>
      <x:c r="I186" s="50"/>
      <x:c r="J186" s="50"/>
      <x:c r="K186" s="50"/>
      <x:c r="L186" s="50"/>
      <x:c r="M186" s="50"/>
      <x:c r="N186" s="50"/>
      <x:c r="O186" s="50"/>
    </x:row>
    <x:row r="187">
      <x:c r="A187" s="50"/>
      <x:c r="B187" s="64"/>
      <x:c r="C187" s="50"/>
      <x:c r="D187" s="50"/>
      <x:c r="E187" s="50" t="str">
        <x:f>IFERROR(VLOOKUP(D187,Inventory!$B:$C,2,FALSE),"")</x:f>
      </x:c>
      <x:c r="F187" s="65"/>
      <x:c r="G187" s="66"/>
      <x:c r="H187" s="66" t="n">
        <x:f>F187*G187</x:f>
        <x:v>0</x:v>
      </x:c>
      <x:c r="I187" s="50"/>
      <x:c r="J187" s="50"/>
      <x:c r="K187" s="50"/>
      <x:c r="L187" s="50"/>
      <x:c r="M187" s="50"/>
      <x:c r="N187" s="50"/>
      <x:c r="O187" s="50"/>
    </x:row>
    <x:row r="188">
      <x:c r="A188" s="50"/>
      <x:c r="B188" s="64"/>
      <x:c r="C188" s="50"/>
      <x:c r="D188" s="50"/>
      <x:c r="E188" s="50" t="str">
        <x:f>IFERROR(VLOOKUP(D188,Inventory!$B:$C,2,FALSE),"")</x:f>
      </x:c>
      <x:c r="F188" s="65"/>
      <x:c r="G188" s="66"/>
      <x:c r="H188" s="66" t="n">
        <x:f>F188*G188</x:f>
        <x:v>0</x:v>
      </x:c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64"/>
      <x:c r="C189" s="50"/>
      <x:c r="D189" s="50"/>
      <x:c r="E189" s="50" t="str">
        <x:f>IFERROR(VLOOKUP(D189,Inventory!$B:$C,2,FALSE),"")</x:f>
      </x:c>
      <x:c r="F189" s="65"/>
      <x:c r="G189" s="66"/>
      <x:c r="H189" s="66" t="n">
        <x:f>F189*G189</x:f>
        <x:v>0</x:v>
      </x:c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64"/>
      <x:c r="C190" s="50"/>
      <x:c r="D190" s="50"/>
      <x:c r="E190" s="50" t="str">
        <x:f>IFERROR(VLOOKUP(D190,Inventory!$B:$C,2,FALSE),"")</x:f>
      </x:c>
      <x:c r="F190" s="65"/>
      <x:c r="G190" s="66"/>
      <x:c r="H190" s="66" t="n">
        <x:f>F190*G190</x:f>
        <x:v>0</x:v>
      </x:c>
      <x:c r="I190" s="50"/>
      <x:c r="J190" s="50"/>
      <x:c r="K190" s="50"/>
      <x:c r="L190" s="50"/>
      <x:c r="M190" s="50"/>
      <x:c r="N190" s="50"/>
      <x:c r="O190" s="50"/>
    </x:row>
    <x:row r="191">
      <x:c r="A191" s="50"/>
      <x:c r="B191" s="64"/>
      <x:c r="C191" s="50"/>
      <x:c r="D191" s="50"/>
      <x:c r="E191" s="50" t="str">
        <x:f>IFERROR(VLOOKUP(D191,Inventory!$B:$C,2,FALSE),"")</x:f>
      </x:c>
      <x:c r="F191" s="65"/>
      <x:c r="G191" s="66"/>
      <x:c r="H191" s="66" t="n">
        <x:f>F191*G191</x:f>
        <x:v>0</x:v>
      </x:c>
      <x:c r="I191" s="50"/>
      <x:c r="J191" s="50"/>
      <x:c r="K191" s="50"/>
      <x:c r="L191" s="50"/>
      <x:c r="M191" s="50"/>
      <x:c r="N191" s="50"/>
      <x:c r="O191" s="50"/>
    </x:row>
    <x:row r="192">
      <x:c r="A192" s="50"/>
      <x:c r="B192" s="64"/>
      <x:c r="C192" s="50"/>
      <x:c r="D192" s="50"/>
      <x:c r="E192" s="50" t="str">
        <x:f>IFERROR(VLOOKUP(D192,Inventory!$B:$C,2,FALSE),"")</x:f>
      </x:c>
      <x:c r="F192" s="65"/>
      <x:c r="G192" s="66"/>
      <x:c r="H192" s="66" t="n">
        <x:f>F192*G192</x:f>
        <x:v>0</x:v>
      </x:c>
      <x:c r="I192" s="50"/>
      <x:c r="J192" s="50"/>
      <x:c r="K192" s="50"/>
      <x:c r="L192" s="50"/>
      <x:c r="M192" s="50"/>
      <x:c r="N192" s="50"/>
      <x:c r="O192" s="50"/>
    </x:row>
    <x:row r="193">
      <x:c r="A193" s="50"/>
      <x:c r="B193" s="64"/>
      <x:c r="C193" s="50"/>
      <x:c r="D193" s="50"/>
      <x:c r="E193" s="50" t="str">
        <x:f>IFERROR(VLOOKUP(D193,Inventory!$B:$C,2,FALSE),"")</x:f>
      </x:c>
      <x:c r="F193" s="65"/>
      <x:c r="G193" s="66"/>
      <x:c r="H193" s="66" t="n">
        <x:f>F193*G193</x:f>
        <x:v>0</x:v>
      </x:c>
      <x:c r="I193" s="50"/>
      <x:c r="J193" s="50"/>
      <x:c r="K193" s="50"/>
      <x:c r="L193" s="50"/>
      <x:c r="M193" s="50"/>
      <x:c r="N193" s="50"/>
      <x:c r="O193" s="50"/>
    </x:row>
    <x:row r="194">
      <x:c r="A194" s="50"/>
      <x:c r="B194" s="64"/>
      <x:c r="C194" s="50"/>
      <x:c r="D194" s="50"/>
      <x:c r="E194" s="50" t="str">
        <x:f>IFERROR(VLOOKUP(D194,Inventory!$B:$C,2,FALSE),"")</x:f>
      </x:c>
      <x:c r="F194" s="65"/>
      <x:c r="G194" s="66"/>
      <x:c r="H194" s="66" t="n">
        <x:f>F194*G194</x:f>
        <x:v>0</x:v>
      </x:c>
      <x:c r="I194" s="50"/>
      <x:c r="J194" s="50"/>
      <x:c r="K194" s="50"/>
      <x:c r="L194" s="50"/>
      <x:c r="M194" s="50"/>
      <x:c r="N194" s="50"/>
      <x:c r="O194" s="50"/>
    </x:row>
    <x:row r="195">
      <x:c r="A195" s="50"/>
      <x:c r="B195" s="64"/>
      <x:c r="C195" s="50"/>
      <x:c r="D195" s="50"/>
      <x:c r="E195" s="50" t="str">
        <x:f>IFERROR(VLOOKUP(D195,Inventory!$B:$C,2,FALSE),"")</x:f>
      </x:c>
      <x:c r="F195" s="65"/>
      <x:c r="G195" s="66"/>
      <x:c r="H195" s="66" t="n">
        <x:f>F195*G195</x:f>
        <x:v>0</x:v>
      </x:c>
      <x:c r="I195" s="50"/>
      <x:c r="J195" s="50"/>
      <x:c r="K195" s="50"/>
      <x:c r="L195" s="50"/>
      <x:c r="M195" s="50"/>
      <x:c r="N195" s="50"/>
      <x:c r="O195" s="50"/>
    </x:row>
    <x:row r="196">
      <x:c r="A196" s="50"/>
      <x:c r="B196" s="64"/>
      <x:c r="C196" s="50"/>
      <x:c r="D196" s="50"/>
      <x:c r="E196" s="50" t="str">
        <x:f>IFERROR(VLOOKUP(D196,Inventory!$B:$C,2,FALSE),"")</x:f>
      </x:c>
      <x:c r="F196" s="65"/>
      <x:c r="G196" s="66"/>
      <x:c r="H196" s="66" t="n">
        <x:f>F196*G196</x:f>
        <x:v>0</x:v>
      </x:c>
      <x:c r="I196" s="50"/>
      <x:c r="J196" s="50"/>
      <x:c r="K196" s="50"/>
      <x:c r="L196" s="50"/>
      <x:c r="M196" s="50"/>
      <x:c r="N196" s="50"/>
      <x:c r="O196" s="50"/>
    </x:row>
    <x:row r="197">
      <x:c r="A197" s="50"/>
      <x:c r="B197" s="64"/>
      <x:c r="C197" s="50"/>
      <x:c r="D197" s="50"/>
      <x:c r="E197" s="50" t="str">
        <x:f>IFERROR(VLOOKUP(D197,Inventory!$B:$C,2,FALSE),"")</x:f>
      </x:c>
      <x:c r="F197" s="65"/>
      <x:c r="G197" s="66"/>
      <x:c r="H197" s="66" t="n">
        <x:f>F197*G197</x:f>
        <x:v>0</x:v>
      </x:c>
      <x:c r="I197" s="50"/>
      <x:c r="J197" s="50"/>
      <x:c r="K197" s="50"/>
      <x:c r="L197" s="50"/>
      <x:c r="M197" s="50"/>
      <x:c r="N197" s="50"/>
      <x:c r="O197" s="50"/>
    </x:row>
    <x:row r="198">
      <x:c r="A198" s="50"/>
      <x:c r="B198" s="64"/>
      <x:c r="C198" s="50"/>
      <x:c r="D198" s="50"/>
      <x:c r="E198" s="50" t="str">
        <x:f>IFERROR(VLOOKUP(D198,Inventory!$B:$C,2,FALSE),"")</x:f>
      </x:c>
      <x:c r="F198" s="65"/>
      <x:c r="G198" s="66"/>
      <x:c r="H198" s="66" t="n">
        <x:f>F198*G198</x:f>
        <x:v>0</x:v>
      </x:c>
      <x:c r="I198" s="50"/>
      <x:c r="J198" s="50"/>
      <x:c r="K198" s="50"/>
      <x:c r="L198" s="50"/>
      <x:c r="M198" s="50"/>
      <x:c r="N198" s="50"/>
      <x:c r="O198" s="50"/>
    </x:row>
    <x:row r="199">
      <x:c r="A199" s="50"/>
      <x:c r="B199" s="64"/>
      <x:c r="C199" s="50"/>
      <x:c r="D199" s="50"/>
      <x:c r="E199" s="50" t="str">
        <x:f>IFERROR(VLOOKUP(D199,Inventory!$B:$C,2,FALSE),"")</x:f>
      </x:c>
      <x:c r="F199" s="65"/>
      <x:c r="G199" s="66"/>
      <x:c r="H199" s="66" t="n">
        <x:f>F199*G199</x:f>
        <x:v>0</x:v>
      </x:c>
      <x:c r="I199" s="50"/>
      <x:c r="J199" s="50"/>
      <x:c r="K199" s="50"/>
      <x:c r="L199" s="50"/>
      <x:c r="M199" s="50"/>
      <x:c r="N199" s="50"/>
      <x:c r="O199" s="50"/>
    </x:row>
    <x:row r="200">
      <x:c r="A200" s="50"/>
      <x:c r="B200" s="64"/>
      <x:c r="C200" s="50"/>
      <x:c r="D200" s="50"/>
      <x:c r="E200" s="50" t="str">
        <x:f>IFERROR(VLOOKUP(D200,Inventory!$B:$C,2,FALSE),"")</x:f>
      </x:c>
      <x:c r="F200" s="65"/>
      <x:c r="G200" s="66"/>
      <x:c r="H200" s="66" t="n">
        <x:f>F200*G200</x:f>
        <x:v>0</x:v>
      </x:c>
      <x:c r="I200" s="50"/>
      <x:c r="J200" s="50"/>
      <x:c r="K200" s="50"/>
      <x:c r="L200" s="50"/>
      <x:c r="M200" s="50"/>
      <x:c r="N200" s="50"/>
      <x:c r="O200" s="50"/>
    </x:row>
    <x:row r="201">
      <x:c r="A201" s="50"/>
      <x:c r="B201" s="64"/>
      <x:c r="C201" s="50"/>
      <x:c r="D201" s="50"/>
      <x:c r="E201" s="50" t="str">
        <x:f>IFERROR(VLOOKUP(D201,Inventory!$B:$C,2,FALSE),"")</x:f>
      </x:c>
      <x:c r="F201" s="65"/>
      <x:c r="G201" s="66"/>
      <x:c r="H201" s="66" t="n">
        <x:f>F201*G201</x:f>
        <x:v>0</x:v>
      </x:c>
      <x:c r="I201" s="50"/>
      <x:c r="J201" s="50"/>
      <x:c r="K201" s="50"/>
      <x:c r="L201" s="50"/>
      <x:c r="M201" s="50"/>
      <x:c r="N201" s="50"/>
      <x:c r="O201" s="50"/>
    </x:row>
    <x:row r="202">
      <x:c r="A202" s="50"/>
      <x:c r="B202" s="64"/>
      <x:c r="C202" s="50"/>
      <x:c r="D202" s="50"/>
      <x:c r="E202" s="50" t="str">
        <x:f>IFERROR(VLOOKUP(D202,Inventory!$B:$C,2,FALSE),"")</x:f>
      </x:c>
      <x:c r="F202" s="65"/>
      <x:c r="G202" s="66"/>
      <x:c r="H202" s="66" t="n">
        <x:f>F202*G202</x:f>
        <x:v>0</x:v>
      </x:c>
      <x:c r="I202" s="50"/>
      <x:c r="J202" s="50"/>
      <x:c r="K202" s="50"/>
      <x:c r="L202" s="50"/>
      <x:c r="M202" s="50"/>
      <x:c r="N202" s="50"/>
      <x:c r="O202" s="50"/>
    </x:row>
    <x:row r="203">
      <x:c r="A203" s="50"/>
      <x:c r="B203" s="64"/>
      <x:c r="C203" s="50"/>
      <x:c r="D203" s="50"/>
      <x:c r="E203" s="50" t="str">
        <x:f>IFERROR(VLOOKUP(D203,Inventory!$B:$C,2,FALSE),"")</x:f>
      </x:c>
      <x:c r="F203" s="65"/>
      <x:c r="G203" s="66"/>
      <x:c r="H203" s="66" t="n">
        <x:f>F203*G203</x:f>
        <x:v>0</x:v>
      </x:c>
      <x:c r="I203" s="50"/>
      <x:c r="J203" s="50"/>
      <x:c r="K203" s="50"/>
      <x:c r="L203" s="50"/>
      <x:c r="M203" s="50"/>
      <x:c r="N203" s="50"/>
      <x:c r="O203" s="50"/>
    </x:row>
    <x:row r="204">
      <x:c r="A204" s="50"/>
      <x:c r="B204" s="64"/>
      <x:c r="C204" s="50"/>
      <x:c r="D204" s="50"/>
      <x:c r="E204" s="50" t="str">
        <x:f>IFERROR(VLOOKUP(D204,Inventory!$B:$C,2,FALSE),"")</x:f>
      </x:c>
      <x:c r="F204" s="65"/>
      <x:c r="G204" s="66"/>
      <x:c r="H204" s="66" t="n">
        <x:f>F204*G204</x:f>
        <x:v>0</x:v>
      </x:c>
      <x:c r="I204" s="50"/>
      <x:c r="J204" s="50"/>
      <x:c r="K204" s="50"/>
      <x:c r="L204" s="50"/>
      <x:c r="M204" s="50"/>
      <x:c r="N204" s="50"/>
      <x:c r="O204" s="50"/>
    </x:row>
    <x:row r="205">
      <x:c r="A205" s="50"/>
      <x:c r="B205" s="64"/>
      <x:c r="C205" s="50"/>
      <x:c r="D205" s="50"/>
      <x:c r="E205" s="50" t="str">
        <x:f>IFERROR(VLOOKUP(D205,Inventory!$B:$C,2,FALSE),"")</x:f>
      </x:c>
      <x:c r="F205" s="65"/>
      <x:c r="G205" s="66"/>
      <x:c r="H205" s="66" t="n">
        <x:f>F205*G205</x:f>
        <x:v>0</x:v>
      </x:c>
      <x:c r="I205" s="50"/>
      <x:c r="J205" s="50"/>
      <x:c r="K205" s="50"/>
      <x:c r="L205" s="50"/>
      <x:c r="M205" s="50"/>
      <x:c r="N205" s="50"/>
      <x:c r="O205" s="50"/>
    </x:row>
    <x:row r="206">
      <x:c r="A206" s="50"/>
      <x:c r="B206" s="64"/>
      <x:c r="C206" s="50"/>
      <x:c r="D206" s="50"/>
      <x:c r="E206" s="50" t="str">
        <x:f>IFERROR(VLOOKUP(D206,Inventory!$B:$C,2,FALSE),"")</x:f>
      </x:c>
      <x:c r="F206" s="65"/>
      <x:c r="G206" s="66"/>
      <x:c r="H206" s="66" t="n">
        <x:f>F206*G206</x:f>
        <x:v>0</x:v>
      </x:c>
      <x:c r="I206" s="50"/>
      <x:c r="J206" s="50"/>
      <x:c r="K206" s="50"/>
      <x:c r="L206" s="50"/>
      <x:c r="M206" s="50"/>
      <x:c r="N206" s="50"/>
      <x:c r="O206" s="50"/>
    </x:row>
    <x:row r="207">
      <x:c r="A207" s="50"/>
      <x:c r="B207" s="64"/>
      <x:c r="C207" s="50"/>
      <x:c r="D207" s="50"/>
      <x:c r="E207" s="50" t="str">
        <x:f>IFERROR(VLOOKUP(D207,Inventory!$B:$C,2,FALSE),"")</x:f>
      </x:c>
      <x:c r="F207" s="65"/>
      <x:c r="G207" s="66"/>
      <x:c r="H207" s="66" t="n">
        <x:f>F207*G207</x:f>
        <x:v>0</x:v>
      </x:c>
      <x:c r="I207" s="50"/>
      <x:c r="J207" s="50"/>
      <x:c r="K207" s="50"/>
      <x:c r="L207" s="50"/>
      <x:c r="M207" s="50"/>
      <x:c r="N207" s="50"/>
      <x:c r="O207" s="50"/>
    </x:row>
    <x:row r="208">
      <x:c r="A208" s="50"/>
      <x:c r="B208" s="64"/>
      <x:c r="C208" s="50"/>
      <x:c r="D208" s="50"/>
      <x:c r="E208" s="50" t="str">
        <x:f>IFERROR(VLOOKUP(D208,Inventory!$B:$C,2,FALSE),"")</x:f>
      </x:c>
      <x:c r="F208" s="65"/>
      <x:c r="G208" s="66"/>
      <x:c r="H208" s="66" t="n">
        <x:f>F208*G208</x:f>
        <x:v>0</x:v>
      </x:c>
      <x:c r="I208" s="50"/>
      <x:c r="J208" s="50"/>
      <x:c r="K208" s="50"/>
      <x:c r="L208" s="50"/>
      <x:c r="M208" s="50"/>
      <x:c r="N208" s="50"/>
      <x:c r="O208" s="50"/>
    </x:row>
    <x:row r="209">
      <x:c r="A209" s="50"/>
      <x:c r="B209" s="64"/>
      <x:c r="C209" s="50"/>
      <x:c r="D209" s="50"/>
      <x:c r="E209" s="50" t="str">
        <x:f>IFERROR(VLOOKUP(D209,Inventory!$B:$C,2,FALSE),"")</x:f>
      </x:c>
      <x:c r="F209" s="65"/>
      <x:c r="G209" s="66"/>
      <x:c r="H209" s="66" t="n">
        <x:f>F209*G209</x:f>
        <x:v>0</x:v>
      </x:c>
      <x:c r="I209" s="50"/>
      <x:c r="J209" s="50"/>
      <x:c r="K209" s="50"/>
      <x:c r="L209" s="50"/>
      <x:c r="M209" s="50"/>
      <x:c r="N209" s="50"/>
      <x:c r="O209" s="50"/>
    </x:row>
    <x:row r="210">
      <x:c r="A210" s="50"/>
      <x:c r="B210" s="64"/>
      <x:c r="C210" s="50"/>
      <x:c r="D210" s="50"/>
      <x:c r="E210" s="50" t="str">
        <x:f>IFERROR(VLOOKUP(D210,Inventory!$B:$C,2,FALSE),"")</x:f>
      </x:c>
      <x:c r="F210" s="65"/>
      <x:c r="G210" s="66"/>
      <x:c r="H210" s="66" t="n">
        <x:f>F210*G210</x:f>
        <x:v>0</x:v>
      </x:c>
      <x:c r="I210" s="50"/>
      <x:c r="J210" s="50"/>
      <x:c r="K210" s="50"/>
      <x:c r="L210" s="50"/>
      <x:c r="M210" s="50"/>
      <x:c r="N210" s="50"/>
      <x:c r="O210" s="50"/>
    </x:row>
    <x:row r="211">
      <x:c r="A211" s="50"/>
      <x:c r="B211" s="64"/>
      <x:c r="C211" s="50"/>
      <x:c r="D211" s="50"/>
      <x:c r="E211" s="50" t="str">
        <x:f>IFERROR(VLOOKUP(D211,Inventory!$B:$C,2,FALSE),"")</x:f>
      </x:c>
      <x:c r="F211" s="65"/>
      <x:c r="G211" s="66"/>
      <x:c r="H211" s="66" t="n">
        <x:f>F211*G211</x:f>
        <x:v>0</x:v>
      </x:c>
      <x:c r="I211" s="50"/>
      <x:c r="J211" s="50"/>
      <x:c r="K211" s="50"/>
      <x:c r="L211" s="50"/>
      <x:c r="M211" s="50"/>
      <x:c r="N211" s="50"/>
      <x:c r="O211" s="50"/>
    </x:row>
    <x:row r="212">
      <x:c r="A212" s="50"/>
      <x:c r="B212" s="64"/>
      <x:c r="C212" s="50"/>
      <x:c r="D212" s="50"/>
      <x:c r="E212" s="50" t="str">
        <x:f>IFERROR(VLOOKUP(D212,Inventory!$B:$C,2,FALSE),"")</x:f>
      </x:c>
      <x:c r="F212" s="65"/>
      <x:c r="G212" s="66"/>
      <x:c r="H212" s="66" t="n">
        <x:f>F212*G212</x:f>
        <x:v>0</x:v>
      </x:c>
      <x:c r="I212" s="50"/>
      <x:c r="J212" s="50"/>
      <x:c r="K212" s="50"/>
      <x:c r="L212" s="50"/>
      <x:c r="M212" s="50"/>
      <x:c r="N212" s="50"/>
      <x:c r="O212" s="50"/>
    </x:row>
    <x:row r="213">
      <x:c r="A213" s="50"/>
      <x:c r="B213" s="64"/>
      <x:c r="C213" s="50"/>
      <x:c r="D213" s="50"/>
      <x:c r="E213" s="50" t="str">
        <x:f>IFERROR(VLOOKUP(D213,Inventory!$B:$C,2,FALSE),"")</x:f>
      </x:c>
      <x:c r="F213" s="65"/>
      <x:c r="G213" s="66"/>
      <x:c r="H213" s="66" t="n">
        <x:f>F213*G213</x:f>
        <x:v>0</x:v>
      </x:c>
      <x:c r="I213" s="50"/>
      <x:c r="J213" s="50"/>
      <x:c r="K213" s="50"/>
      <x:c r="L213" s="50"/>
      <x:c r="M213" s="50"/>
      <x:c r="N213" s="50"/>
      <x:c r="O213" s="50"/>
    </x:row>
    <x:row r="214">
      <x:c r="A214" s="50"/>
      <x:c r="B214" s="64"/>
      <x:c r="C214" s="50"/>
      <x:c r="D214" s="50"/>
      <x:c r="E214" s="50" t="str">
        <x:f>IFERROR(VLOOKUP(D214,Inventory!$B:$C,2,FALSE),"")</x:f>
      </x:c>
      <x:c r="F214" s="65"/>
      <x:c r="G214" s="66"/>
      <x:c r="H214" s="66" t="n">
        <x:f>F214*G214</x:f>
        <x:v>0</x:v>
      </x:c>
      <x:c r="I214" s="50"/>
      <x:c r="J214" s="50"/>
      <x:c r="K214" s="50"/>
      <x:c r="L214" s="50"/>
      <x:c r="M214" s="50"/>
      <x:c r="N214" s="50"/>
      <x:c r="O214" s="50"/>
    </x:row>
    <x:row r="215">
      <x:c r="A215" s="50"/>
      <x:c r="B215" s="64"/>
      <x:c r="C215" s="50"/>
      <x:c r="D215" s="50"/>
      <x:c r="E215" s="50" t="str">
        <x:f>IFERROR(VLOOKUP(D215,Inventory!$B:$C,2,FALSE),"")</x:f>
      </x:c>
      <x:c r="F215" s="65"/>
      <x:c r="G215" s="66"/>
      <x:c r="H215" s="66" t="n">
        <x:f>F215*G215</x:f>
        <x:v>0</x:v>
      </x:c>
      <x:c r="I215" s="50"/>
      <x:c r="J215" s="50"/>
      <x:c r="K215" s="50"/>
      <x:c r="L215" s="50"/>
      <x:c r="M215" s="50"/>
      <x:c r="N215" s="50"/>
      <x:c r="O215" s="50"/>
    </x:row>
    <x:row r="216">
      <x:c r="A216" s="50"/>
      <x:c r="B216" s="64"/>
      <x:c r="C216" s="50"/>
      <x:c r="D216" s="50"/>
      <x:c r="E216" s="50" t="str">
        <x:f>IFERROR(VLOOKUP(D216,Inventory!$B:$C,2,FALSE),"")</x:f>
      </x:c>
      <x:c r="F216" s="65"/>
      <x:c r="G216" s="66"/>
      <x:c r="H216" s="66" t="n">
        <x:f>F216*G216</x:f>
        <x:v>0</x:v>
      </x:c>
      <x:c r="I216" s="50"/>
      <x:c r="J216" s="50"/>
      <x:c r="K216" s="50"/>
      <x:c r="L216" s="50"/>
      <x:c r="M216" s="50"/>
      <x:c r="N216" s="50"/>
      <x:c r="O216" s="50"/>
    </x:row>
    <x:row r="217">
      <x:c r="A217" s="50"/>
      <x:c r="B217" s="64"/>
      <x:c r="C217" s="50"/>
      <x:c r="D217" s="50"/>
      <x:c r="E217" s="50" t="str">
        <x:f>IFERROR(VLOOKUP(D217,Inventory!$B:$C,2,FALSE),"")</x:f>
      </x:c>
      <x:c r="F217" s="65"/>
      <x:c r="G217" s="66"/>
      <x:c r="H217" s="66" t="n">
        <x:f>F217*G217</x:f>
        <x:v>0</x:v>
      </x:c>
      <x:c r="I217" s="50"/>
      <x:c r="J217" s="50"/>
      <x:c r="K217" s="50"/>
      <x:c r="L217" s="50"/>
      <x:c r="M217" s="50"/>
      <x:c r="N217" s="50"/>
      <x:c r="O217" s="50"/>
    </x:row>
    <x:row r="218">
      <x:c r="A218" s="50"/>
      <x:c r="B218" s="64"/>
      <x:c r="C218" s="50"/>
      <x:c r="D218" s="50"/>
      <x:c r="E218" s="50" t="str">
        <x:f>IFERROR(VLOOKUP(D218,Inventory!$B:$C,2,FALSE),"")</x:f>
      </x:c>
      <x:c r="F218" s="65"/>
      <x:c r="G218" s="66"/>
      <x:c r="H218" s="66" t="n">
        <x:f>F218*G218</x:f>
        <x:v>0</x:v>
      </x:c>
      <x:c r="I218" s="50"/>
      <x:c r="J218" s="50"/>
      <x:c r="K218" s="50"/>
      <x:c r="L218" s="50"/>
      <x:c r="M218" s="50"/>
      <x:c r="N218" s="50"/>
      <x:c r="O218" s="50"/>
    </x:row>
    <x:row r="219">
      <x:c r="A219" s="50"/>
      <x:c r="B219" s="64"/>
      <x:c r="C219" s="50"/>
      <x:c r="D219" s="50"/>
      <x:c r="E219" s="50" t="str">
        <x:f>IFERROR(VLOOKUP(D219,Inventory!$B:$C,2,FALSE),"")</x:f>
      </x:c>
      <x:c r="F219" s="65"/>
      <x:c r="G219" s="66"/>
      <x:c r="H219" s="66" t="n">
        <x:f>F219*G219</x:f>
        <x:v>0</x:v>
      </x:c>
      <x:c r="I219" s="50"/>
      <x:c r="J219" s="50"/>
      <x:c r="K219" s="50"/>
      <x:c r="L219" s="50"/>
      <x:c r="M219" s="50"/>
      <x:c r="N219" s="50"/>
      <x:c r="O219" s="50"/>
    </x:row>
    <x:row r="220">
      <x:c r="A220" s="50"/>
      <x:c r="B220" s="64"/>
      <x:c r="C220" s="50"/>
      <x:c r="D220" s="50"/>
      <x:c r="E220" s="50" t="str">
        <x:f>IFERROR(VLOOKUP(D220,Inventory!$B:$C,2,FALSE),"")</x:f>
      </x:c>
      <x:c r="F220" s="65"/>
      <x:c r="G220" s="66"/>
      <x:c r="H220" s="66" t="n">
        <x:f>F220*G220</x:f>
        <x:v>0</x:v>
      </x:c>
      <x:c r="I220" s="50"/>
      <x:c r="J220" s="50"/>
      <x:c r="K220" s="50"/>
      <x:c r="L220" s="50"/>
      <x:c r="M220" s="50"/>
      <x:c r="N220" s="50"/>
      <x:c r="O220" s="50"/>
    </x:row>
    <x:row r="221">
      <x:c r="A221" s="50"/>
      <x:c r="B221" s="64"/>
      <x:c r="C221" s="50"/>
      <x:c r="D221" s="50"/>
      <x:c r="E221" s="50" t="str">
        <x:f>IFERROR(VLOOKUP(D221,Inventory!$B:$C,2,FALSE),"")</x:f>
      </x:c>
      <x:c r="F221" s="65"/>
      <x:c r="G221" s="66"/>
      <x:c r="H221" s="66" t="n">
        <x:f>F221*G221</x:f>
        <x:v>0</x:v>
      </x:c>
      <x:c r="I221" s="50"/>
      <x:c r="J221" s="50"/>
      <x:c r="K221" s="50"/>
      <x:c r="L221" s="50"/>
      <x:c r="M221" s="50"/>
      <x:c r="N221" s="50"/>
      <x:c r="O221" s="50"/>
    </x:row>
    <x:row r="222">
      <x:c r="A222" s="50"/>
      <x:c r="B222" s="64"/>
      <x:c r="C222" s="50"/>
      <x:c r="D222" s="50"/>
      <x:c r="E222" s="50" t="str">
        <x:f>IFERROR(VLOOKUP(D222,Inventory!$B:$C,2,FALSE),"")</x:f>
      </x:c>
      <x:c r="F222" s="65"/>
      <x:c r="G222" s="66"/>
      <x:c r="H222" s="66" t="n">
        <x:f>F222*G222</x:f>
        <x:v>0</x:v>
      </x:c>
      <x:c r="I222" s="50"/>
      <x:c r="J222" s="50"/>
      <x:c r="K222" s="50"/>
      <x:c r="L222" s="50"/>
      <x:c r="M222" s="50"/>
      <x:c r="N222" s="50"/>
      <x:c r="O222" s="50"/>
    </x:row>
    <x:row r="223">
      <x:c r="A223" s="50"/>
      <x:c r="B223" s="64"/>
      <x:c r="C223" s="50"/>
      <x:c r="D223" s="50"/>
      <x:c r="E223" s="50" t="str">
        <x:f>IFERROR(VLOOKUP(D223,Inventory!$B:$C,2,FALSE),"")</x:f>
      </x:c>
      <x:c r="F223" s="65"/>
      <x:c r="G223" s="66"/>
      <x:c r="H223" s="66" t="n">
        <x:f>F223*G223</x:f>
        <x:v>0</x:v>
      </x:c>
      <x:c r="I223" s="50"/>
      <x:c r="J223" s="50"/>
      <x:c r="K223" s="50"/>
      <x:c r="L223" s="50"/>
      <x:c r="M223" s="50"/>
      <x:c r="N223" s="50"/>
      <x:c r="O223" s="50"/>
    </x:row>
    <x:row r="224">
      <x:c r="A224" s="50"/>
      <x:c r="B224" s="64"/>
      <x:c r="C224" s="50"/>
      <x:c r="D224" s="50"/>
      <x:c r="E224" s="50" t="str">
        <x:f>IFERROR(VLOOKUP(D224,Inventory!$B:$C,2,FALSE),"")</x:f>
      </x:c>
      <x:c r="F224" s="65"/>
      <x:c r="G224" s="66"/>
      <x:c r="H224" s="66" t="n">
        <x:f>F224*G224</x:f>
        <x:v>0</x:v>
      </x:c>
      <x:c r="I224" s="50"/>
      <x:c r="J224" s="50"/>
      <x:c r="K224" s="50"/>
      <x:c r="L224" s="50"/>
      <x:c r="M224" s="50"/>
      <x:c r="N224" s="50"/>
      <x:c r="O224" s="50"/>
    </x:row>
    <x:row r="225">
      <x:c r="A225" s="50"/>
      <x:c r="B225" s="64"/>
      <x:c r="C225" s="50"/>
      <x:c r="D225" s="50"/>
      <x:c r="E225" s="50" t="str">
        <x:f>IFERROR(VLOOKUP(D225,Inventory!$B:$C,2,FALSE),"")</x:f>
      </x:c>
      <x:c r="F225" s="65"/>
      <x:c r="G225" s="66"/>
      <x:c r="H225" s="66" t="n">
        <x:f>F225*G225</x:f>
        <x:v>0</x:v>
      </x:c>
      <x:c r="I225" s="50"/>
      <x:c r="J225" s="50"/>
      <x:c r="K225" s="50"/>
      <x:c r="L225" s="50"/>
      <x:c r="M225" s="50"/>
      <x:c r="N225" s="50"/>
      <x:c r="O225" s="50"/>
    </x:row>
    <x:row r="226">
      <x:c r="A226" s="50"/>
      <x:c r="B226" s="64"/>
      <x:c r="C226" s="50"/>
      <x:c r="D226" s="50"/>
      <x:c r="E226" s="50" t="str">
        <x:f>IFERROR(VLOOKUP(D226,Inventory!$B:$C,2,FALSE),"")</x:f>
      </x:c>
      <x:c r="F226" s="65"/>
      <x:c r="G226" s="66"/>
      <x:c r="H226" s="66" t="n">
        <x:f>F226*G226</x:f>
        <x:v>0</x:v>
      </x:c>
      <x:c r="I226" s="50"/>
      <x:c r="J226" s="50"/>
      <x:c r="K226" s="50"/>
      <x:c r="L226" s="50"/>
      <x:c r="M226" s="50"/>
      <x:c r="N226" s="50"/>
      <x:c r="O226" s="50"/>
    </x:row>
    <x:row r="227">
      <x:c r="A227" s="50"/>
      <x:c r="B227" s="64"/>
      <x:c r="C227" s="50"/>
      <x:c r="D227" s="50"/>
      <x:c r="E227" s="50" t="str">
        <x:f>IFERROR(VLOOKUP(D227,Inventory!$B:$C,2,FALSE),"")</x:f>
      </x:c>
      <x:c r="F227" s="65"/>
      <x:c r="G227" s="66"/>
      <x:c r="H227" s="66" t="n">
        <x:f>F227*G227</x:f>
        <x:v>0</x:v>
      </x:c>
      <x:c r="I227" s="50"/>
      <x:c r="J227" s="50"/>
      <x:c r="K227" s="50"/>
      <x:c r="L227" s="50"/>
      <x:c r="M227" s="50"/>
      <x:c r="N227" s="50"/>
      <x:c r="O227" s="50"/>
    </x:row>
    <x:row r="228">
      <x:c r="A228" s="50"/>
      <x:c r="B228" s="64"/>
      <x:c r="C228" s="50"/>
      <x:c r="D228" s="50"/>
      <x:c r="E228" s="50" t="str">
        <x:f>IFERROR(VLOOKUP(D228,Inventory!$B:$C,2,FALSE),"")</x:f>
      </x:c>
      <x:c r="F228" s="65"/>
      <x:c r="G228" s="66"/>
      <x:c r="H228" s="66" t="n">
        <x:f>F228*G228</x:f>
        <x:v>0</x:v>
      </x:c>
      <x:c r="I228" s="50"/>
      <x:c r="J228" s="50"/>
      <x:c r="K228" s="50"/>
      <x:c r="L228" s="50"/>
      <x:c r="M228" s="50"/>
      <x:c r="N228" s="50"/>
      <x:c r="O228" s="50"/>
    </x:row>
    <x:row r="229">
      <x:c r="A229" s="50"/>
      <x:c r="B229" s="64"/>
      <x:c r="C229" s="50"/>
      <x:c r="D229" s="50"/>
      <x:c r="E229" s="50" t="str">
        <x:f>IFERROR(VLOOKUP(D229,Inventory!$B:$C,2,FALSE),"")</x:f>
      </x:c>
      <x:c r="F229" s="65"/>
      <x:c r="G229" s="66"/>
      <x:c r="H229" s="66" t="n">
        <x:f>F229*G229</x:f>
        <x:v>0</x:v>
      </x:c>
      <x:c r="I229" s="50"/>
      <x:c r="J229" s="50"/>
      <x:c r="K229" s="50"/>
      <x:c r="L229" s="50"/>
      <x:c r="M229" s="50"/>
      <x:c r="N229" s="50"/>
      <x:c r="O229" s="50"/>
    </x:row>
    <x:row r="230">
      <x:c r="A230" s="50"/>
      <x:c r="B230" s="64"/>
      <x:c r="C230" s="50"/>
      <x:c r="D230" s="50"/>
      <x:c r="E230" s="50" t="str">
        <x:f>IFERROR(VLOOKUP(D230,Inventory!$B:$C,2,FALSE),"")</x:f>
      </x:c>
      <x:c r="F230" s="65"/>
      <x:c r="G230" s="66"/>
      <x:c r="H230" s="66" t="n">
        <x:f>F230*G230</x:f>
        <x:v>0</x:v>
      </x:c>
      <x:c r="I230" s="50"/>
      <x:c r="J230" s="50"/>
      <x:c r="K230" s="50"/>
      <x:c r="L230" s="50"/>
      <x:c r="M230" s="50"/>
      <x:c r="N230" s="50"/>
      <x:c r="O230" s="50"/>
    </x:row>
    <x:row r="231">
      <x:c r="A231" s="50"/>
      <x:c r="B231" s="64"/>
      <x:c r="C231" s="50"/>
      <x:c r="D231" s="50"/>
      <x:c r="E231" s="50" t="str">
        <x:f>IFERROR(VLOOKUP(D231,Inventory!$B:$C,2,FALSE),"")</x:f>
      </x:c>
      <x:c r="F231" s="65"/>
      <x:c r="G231" s="66"/>
      <x:c r="H231" s="66" t="n">
        <x:f>F231*G231</x:f>
        <x:v>0</x:v>
      </x:c>
      <x:c r="I231" s="50"/>
      <x:c r="J231" s="50"/>
      <x:c r="K231" s="50"/>
      <x:c r="L231" s="50"/>
      <x:c r="M231" s="50"/>
      <x:c r="N231" s="50"/>
      <x:c r="O231" s="50"/>
    </x:row>
    <x:row r="232">
      <x:c r="A232" s="50"/>
      <x:c r="B232" s="64"/>
      <x:c r="C232" s="50"/>
      <x:c r="D232" s="50"/>
      <x:c r="E232" s="50" t="str">
        <x:f>IFERROR(VLOOKUP(D232,Inventory!$B:$C,2,FALSE),"")</x:f>
      </x:c>
      <x:c r="F232" s="65"/>
      <x:c r="G232" s="66"/>
      <x:c r="H232" s="66" t="n">
        <x:f>F232*G232</x:f>
        <x:v>0</x:v>
      </x:c>
      <x:c r="I232" s="50"/>
      <x:c r="J232" s="50"/>
      <x:c r="K232" s="50"/>
      <x:c r="L232" s="50"/>
      <x:c r="M232" s="50"/>
      <x:c r="N232" s="50"/>
      <x:c r="O232" s="50"/>
    </x:row>
    <x:row r="233">
      <x:c r="A233" s="50"/>
      <x:c r="B233" s="64"/>
      <x:c r="C233" s="50"/>
      <x:c r="D233" s="50"/>
      <x:c r="E233" s="50" t="str">
        <x:f>IFERROR(VLOOKUP(D233,Inventory!$B:$C,2,FALSE),"")</x:f>
      </x:c>
      <x:c r="F233" s="65"/>
      <x:c r="G233" s="66"/>
      <x:c r="H233" s="66" t="n">
        <x:f>F233*G233</x:f>
        <x:v>0</x:v>
      </x:c>
      <x:c r="I233" s="50"/>
      <x:c r="J233" s="50"/>
      <x:c r="K233" s="50"/>
      <x:c r="L233" s="50"/>
      <x:c r="M233" s="50"/>
      <x:c r="N233" s="50"/>
      <x:c r="O233" s="50"/>
    </x:row>
    <x:row r="234">
      <x:c r="A234" s="50"/>
      <x:c r="B234" s="64"/>
      <x:c r="C234" s="50"/>
      <x:c r="D234" s="50"/>
      <x:c r="E234" s="50" t="str">
        <x:f>IFERROR(VLOOKUP(D234,Inventory!$B:$C,2,FALSE),"")</x:f>
      </x:c>
      <x:c r="F234" s="65"/>
      <x:c r="G234" s="66"/>
      <x:c r="H234" s="66" t="n">
        <x:f>F234*G234</x:f>
        <x:v>0</x:v>
      </x:c>
      <x:c r="I234" s="50"/>
      <x:c r="J234" s="50"/>
      <x:c r="K234" s="50"/>
      <x:c r="L234" s="50"/>
      <x:c r="M234" s="50"/>
      <x:c r="N234" s="50"/>
      <x:c r="O234" s="50"/>
    </x:row>
    <x:row r="235">
      <x:c r="A235" s="50"/>
      <x:c r="B235" s="64"/>
      <x:c r="C235" s="50"/>
      <x:c r="D235" s="50"/>
      <x:c r="E235" s="50" t="str">
        <x:f>IFERROR(VLOOKUP(D235,Inventory!$B:$C,2,FALSE),"")</x:f>
      </x:c>
      <x:c r="F235" s="65"/>
      <x:c r="G235" s="66"/>
      <x:c r="H235" s="66" t="n">
        <x:f>F235*G235</x:f>
        <x:v>0</x:v>
      </x:c>
      <x:c r="I235" s="50"/>
      <x:c r="J235" s="50"/>
      <x:c r="K235" s="50"/>
      <x:c r="L235" s="50"/>
      <x:c r="M235" s="50"/>
      <x:c r="N235" s="50"/>
      <x:c r="O235" s="50"/>
    </x:row>
    <x:row r="236">
      <x:c r="A236" s="50"/>
      <x:c r="B236" s="64"/>
      <x:c r="C236" s="50"/>
      <x:c r="D236" s="50"/>
      <x:c r="E236" s="50" t="str">
        <x:f>IFERROR(VLOOKUP(D236,Inventory!$B:$C,2,FALSE),"")</x:f>
      </x:c>
      <x:c r="F236" s="65"/>
      <x:c r="G236" s="66"/>
      <x:c r="H236" s="66" t="n">
        <x:f>F236*G236</x:f>
        <x:v>0</x:v>
      </x:c>
      <x:c r="I236" s="50"/>
      <x:c r="J236" s="50"/>
      <x:c r="K236" s="50"/>
      <x:c r="L236" s="50"/>
      <x:c r="M236" s="50"/>
      <x:c r="N236" s="50"/>
      <x:c r="O236" s="50"/>
    </x:row>
    <x:row r="237">
      <x:c r="A237" s="50"/>
      <x:c r="B237" s="64"/>
      <x:c r="C237" s="50"/>
      <x:c r="D237" s="50"/>
      <x:c r="E237" s="50" t="str">
        <x:f>IFERROR(VLOOKUP(D237,Inventory!$B:$C,2,FALSE),"")</x:f>
      </x:c>
      <x:c r="F237" s="65"/>
      <x:c r="G237" s="66"/>
      <x:c r="H237" s="66" t="n">
        <x:f>F237*G237</x:f>
        <x:v>0</x:v>
      </x:c>
      <x:c r="I237" s="50"/>
      <x:c r="J237" s="50"/>
      <x:c r="K237" s="50"/>
      <x:c r="L237" s="50"/>
      <x:c r="M237" s="50"/>
      <x:c r="N237" s="50"/>
      <x:c r="O237" s="50"/>
    </x:row>
    <x:row r="238">
      <x:c r="A238" s="50"/>
      <x:c r="B238" s="64"/>
      <x:c r="C238" s="50"/>
      <x:c r="D238" s="50"/>
      <x:c r="E238" s="50" t="str">
        <x:f>IFERROR(VLOOKUP(D238,Inventory!$B:$C,2,FALSE),"")</x:f>
      </x:c>
      <x:c r="F238" s="65"/>
      <x:c r="G238" s="66"/>
      <x:c r="H238" s="66" t="n">
        <x:f>F238*G238</x:f>
        <x:v>0</x:v>
      </x:c>
      <x:c r="I238" s="50"/>
      <x:c r="J238" s="50"/>
      <x:c r="K238" s="50"/>
      <x:c r="L238" s="50"/>
      <x:c r="M238" s="50"/>
      <x:c r="N238" s="50"/>
      <x:c r="O238" s="50"/>
    </x:row>
    <x:row r="239">
      <x:c r="A239" s="50"/>
      <x:c r="B239" s="64"/>
      <x:c r="C239" s="50"/>
      <x:c r="D239" s="50"/>
      <x:c r="E239" s="50" t="str">
        <x:f>IFERROR(VLOOKUP(D239,Inventory!$B:$C,2,FALSE),"")</x:f>
      </x:c>
      <x:c r="F239" s="65"/>
      <x:c r="G239" s="66"/>
      <x:c r="H239" s="66" t="n">
        <x:f>F239*G239</x:f>
        <x:v>0</x:v>
      </x:c>
      <x:c r="I239" s="50"/>
      <x:c r="J239" s="50"/>
      <x:c r="K239" s="50"/>
      <x:c r="L239" s="50"/>
      <x:c r="M239" s="50"/>
      <x:c r="N239" s="50"/>
      <x:c r="O239" s="50"/>
    </x:row>
    <x:row r="240">
      <x:c r="A240" s="50"/>
      <x:c r="B240" s="64"/>
      <x:c r="C240" s="50"/>
      <x:c r="D240" s="50"/>
      <x:c r="E240" s="50" t="str">
        <x:f>IFERROR(VLOOKUP(D240,Inventory!$B:$C,2,FALSE),"")</x:f>
      </x:c>
      <x:c r="F240" s="65"/>
      <x:c r="G240" s="66"/>
      <x:c r="H240" s="66" t="n">
        <x:f>F240*G240</x:f>
        <x:v>0</x:v>
      </x:c>
      <x:c r="I240" s="50"/>
      <x:c r="J240" s="50"/>
      <x:c r="K240" s="50"/>
      <x:c r="L240" s="50"/>
      <x:c r="M240" s="50"/>
      <x:c r="N240" s="50"/>
      <x:c r="O240" s="50"/>
    </x:row>
    <x:row r="241">
      <x:c r="A241" s="50"/>
      <x:c r="B241" s="64"/>
      <x:c r="C241" s="50"/>
      <x:c r="D241" s="50"/>
      <x:c r="E241" s="50" t="str">
        <x:f>IFERROR(VLOOKUP(D241,Inventory!$B:$C,2,FALSE),"")</x:f>
      </x:c>
      <x:c r="F241" s="65"/>
      <x:c r="G241" s="66"/>
      <x:c r="H241" s="66" t="n">
        <x:f>F241*G241</x:f>
        <x:v>0</x:v>
      </x:c>
      <x:c r="I241" s="50"/>
      <x:c r="J241" s="50"/>
      <x:c r="K241" s="50"/>
      <x:c r="L241" s="50"/>
      <x:c r="M241" s="50"/>
      <x:c r="N241" s="50"/>
      <x:c r="O241" s="50"/>
    </x:row>
    <x:row r="242">
      <x:c r="A242" s="50"/>
      <x:c r="B242" s="64"/>
      <x:c r="C242" s="50"/>
      <x:c r="D242" s="50"/>
      <x:c r="E242" s="50" t="str">
        <x:f>IFERROR(VLOOKUP(D242,Inventory!$B:$C,2,FALSE),"")</x:f>
      </x:c>
      <x:c r="F242" s="65"/>
      <x:c r="G242" s="66"/>
      <x:c r="H242" s="66" t="n">
        <x:f>F242*G242</x:f>
        <x:v>0</x:v>
      </x:c>
      <x:c r="I242" s="50"/>
      <x:c r="J242" s="50"/>
      <x:c r="K242" s="50"/>
      <x:c r="L242" s="50"/>
      <x:c r="M242" s="50"/>
      <x:c r="N242" s="50"/>
      <x:c r="O242" s="50"/>
    </x:row>
    <x:row r="243">
      <x:c r="A243" s="50"/>
      <x:c r="B243" s="64"/>
      <x:c r="C243" s="50"/>
      <x:c r="D243" s="50"/>
      <x:c r="E243" s="50" t="str">
        <x:f>IFERROR(VLOOKUP(D243,Inventory!$B:$C,2,FALSE),"")</x:f>
      </x:c>
      <x:c r="F243" s="65"/>
      <x:c r="G243" s="66"/>
      <x:c r="H243" s="66" t="n">
        <x:f>F243*G243</x:f>
        <x:v>0</x:v>
      </x:c>
      <x:c r="I243" s="50"/>
      <x:c r="J243" s="50"/>
      <x:c r="K243" s="50"/>
      <x:c r="L243" s="50"/>
      <x:c r="M243" s="50"/>
      <x:c r="N243" s="50"/>
      <x:c r="O243" s="50"/>
    </x:row>
    <x:row r="244">
      <x:c r="A244" s="50"/>
      <x:c r="B244" s="64"/>
      <x:c r="C244" s="50"/>
      <x:c r="D244" s="50"/>
      <x:c r="E244" s="50" t="str">
        <x:f>IFERROR(VLOOKUP(D244,Inventory!$B:$C,2,FALSE),"")</x:f>
      </x:c>
      <x:c r="F244" s="65"/>
      <x:c r="G244" s="66"/>
      <x:c r="H244" s="66" t="n">
        <x:f>F244*G244</x:f>
        <x:v>0</x:v>
      </x:c>
      <x:c r="I244" s="50"/>
      <x:c r="J244" s="50"/>
      <x:c r="K244" s="50"/>
      <x:c r="L244" s="50"/>
      <x:c r="M244" s="50"/>
      <x:c r="N244" s="50"/>
      <x:c r="O244" s="50"/>
    </x:row>
    <x:row r="245">
      <x:c r="A245" s="50"/>
      <x:c r="B245" s="64"/>
      <x:c r="C245" s="50"/>
      <x:c r="D245" s="50"/>
      <x:c r="E245" s="50" t="str">
        <x:f>IFERROR(VLOOKUP(D245,Inventory!$B:$C,2,FALSE),"")</x:f>
      </x:c>
      <x:c r="F245" s="65"/>
      <x:c r="G245" s="66"/>
      <x:c r="H245" s="66" t="n">
        <x:f>F245*G245</x:f>
        <x:v>0</x:v>
      </x:c>
      <x:c r="I245" s="50"/>
      <x:c r="J245" s="50"/>
      <x:c r="K245" s="50"/>
      <x:c r="L245" s="50"/>
      <x:c r="M245" s="50"/>
      <x:c r="N245" s="50"/>
      <x:c r="O245" s="50"/>
    </x:row>
    <x:row r="246">
      <x:c r="A246" s="50"/>
      <x:c r="B246" s="64"/>
      <x:c r="C246" s="50"/>
      <x:c r="D246" s="50"/>
      <x:c r="E246" s="50" t="str">
        <x:f>IFERROR(VLOOKUP(D246,Inventory!$B:$C,2,FALSE),"")</x:f>
      </x:c>
      <x:c r="F246" s="65"/>
      <x:c r="G246" s="66"/>
      <x:c r="H246" s="66" t="n">
        <x:f>F246*G246</x:f>
        <x:v>0</x:v>
      </x:c>
      <x:c r="I246" s="50"/>
      <x:c r="J246" s="50"/>
      <x:c r="K246" s="50"/>
      <x:c r="L246" s="50"/>
      <x:c r="M246" s="50"/>
      <x:c r="N246" s="50"/>
      <x:c r="O246" s="50"/>
    </x:row>
    <x:row r="247">
      <x:c r="A247" s="50"/>
      <x:c r="B247" s="64"/>
      <x:c r="C247" s="50"/>
      <x:c r="D247" s="50"/>
      <x:c r="E247" s="50" t="str">
        <x:f>IFERROR(VLOOKUP(D247,Inventory!$B:$C,2,FALSE),"")</x:f>
      </x:c>
      <x:c r="F247" s="65"/>
      <x:c r="G247" s="66"/>
      <x:c r="H247" s="66" t="n">
        <x:f>F247*G247</x:f>
        <x:v>0</x:v>
      </x:c>
      <x:c r="I247" s="50"/>
      <x:c r="J247" s="50"/>
      <x:c r="K247" s="50"/>
      <x:c r="L247" s="50"/>
      <x:c r="M247" s="50"/>
      <x:c r="N247" s="50"/>
      <x:c r="O247" s="50"/>
    </x:row>
    <x:row r="248">
      <x:c r="A248" s="50"/>
      <x:c r="B248" s="64"/>
      <x:c r="C248" s="50"/>
      <x:c r="D248" s="50"/>
      <x:c r="E248" s="50" t="str">
        <x:f>IFERROR(VLOOKUP(D248,Inventory!$B:$C,2,FALSE),"")</x:f>
      </x:c>
      <x:c r="F248" s="65"/>
      <x:c r="G248" s="66"/>
      <x:c r="H248" s="66" t="n">
        <x:f>F248*G248</x:f>
        <x:v>0</x:v>
      </x:c>
      <x:c r="I248" s="50"/>
      <x:c r="J248" s="50"/>
      <x:c r="K248" s="50"/>
      <x:c r="L248" s="50"/>
      <x:c r="M248" s="50"/>
      <x:c r="N248" s="50"/>
      <x:c r="O248" s="50"/>
    </x:row>
    <x:row r="249">
      <x:c r="A249" s="50"/>
      <x:c r="B249" s="64"/>
      <x:c r="C249" s="50"/>
      <x:c r="D249" s="50"/>
      <x:c r="E249" s="50" t="str">
        <x:f>IFERROR(VLOOKUP(D249,Inventory!$B:$C,2,FALSE),"")</x:f>
      </x:c>
      <x:c r="F249" s="65"/>
      <x:c r="G249" s="66"/>
      <x:c r="H249" s="66" t="n">
        <x:f>F249*G249</x:f>
        <x:v>0</x:v>
      </x:c>
      <x:c r="I249" s="50"/>
      <x:c r="J249" s="50"/>
      <x:c r="K249" s="50"/>
      <x:c r="L249" s="50"/>
      <x:c r="M249" s="50"/>
      <x:c r="N249" s="50"/>
      <x:c r="O249" s="50"/>
    </x:row>
    <x:row r="250">
      <x:c r="A250" s="50"/>
      <x:c r="B250" s="64"/>
      <x:c r="C250" s="50"/>
      <x:c r="D250" s="50"/>
      <x:c r="E250" s="50" t="str">
        <x:f>IFERROR(VLOOKUP(D250,Inventory!$B:$C,2,FALSE),"")</x:f>
      </x:c>
      <x:c r="F250" s="65"/>
      <x:c r="G250" s="66"/>
      <x:c r="H250" s="66" t="n">
        <x:f>F250*G250</x:f>
        <x:v>0</x:v>
      </x:c>
      <x:c r="I250" s="50"/>
      <x:c r="J250" s="50"/>
      <x:c r="K250" s="50"/>
      <x:c r="L250" s="50"/>
      <x:c r="M250" s="50"/>
      <x:c r="N250" s="50"/>
      <x:c r="O250" s="50"/>
    </x:row>
    <x:row r="251">
      <x:c r="A251" s="50"/>
      <x:c r="B251" s="64"/>
      <x:c r="C251" s="50"/>
      <x:c r="D251" s="50"/>
      <x:c r="E251" s="50" t="str">
        <x:f>IFERROR(VLOOKUP(D251,Inventory!$B:$C,2,FALSE),"")</x:f>
      </x:c>
      <x:c r="F251" s="65"/>
      <x:c r="G251" s="66"/>
      <x:c r="H251" s="66" t="n">
        <x:f>F251*G251</x:f>
        <x:v>0</x:v>
      </x:c>
      <x:c r="I251" s="50"/>
      <x:c r="J251" s="50"/>
      <x:c r="K251" s="50"/>
      <x:c r="L251" s="50"/>
      <x:c r="M251" s="50"/>
      <x:c r="N251" s="50"/>
      <x:c r="O251" s="50"/>
    </x:row>
    <x:row r="252">
      <x:c r="A252" s="50"/>
      <x:c r="B252" s="64"/>
      <x:c r="C252" s="50"/>
      <x:c r="D252" s="50"/>
      <x:c r="E252" s="50" t="str">
        <x:f>IFERROR(VLOOKUP(D252,Inventory!$B:$C,2,FALSE),"")</x:f>
      </x:c>
      <x:c r="F252" s="65"/>
      <x:c r="G252" s="66"/>
      <x:c r="H252" s="66" t="n">
        <x:f>F252*G252</x:f>
        <x:v>0</x:v>
      </x:c>
      <x:c r="I252" s="50"/>
      <x:c r="J252" s="50"/>
      <x:c r="K252" s="50"/>
      <x:c r="L252" s="50"/>
      <x:c r="M252" s="50"/>
      <x:c r="N252" s="50"/>
      <x:c r="O252" s="50"/>
    </x:row>
    <x:row r="253">
      <x:c r="A253" s="50"/>
      <x:c r="B253" s="64"/>
      <x:c r="C253" s="50"/>
      <x:c r="D253" s="50"/>
      <x:c r="E253" s="50" t="str">
        <x:f>IFERROR(VLOOKUP(D253,Inventory!$B:$C,2,FALSE),"")</x:f>
      </x:c>
      <x:c r="F253" s="65"/>
      <x:c r="G253" s="66"/>
      <x:c r="H253" s="66" t="n">
        <x:f>F253*G253</x:f>
        <x:v>0</x:v>
      </x:c>
      <x:c r="I253" s="50"/>
      <x:c r="J253" s="50"/>
      <x:c r="K253" s="50"/>
      <x:c r="L253" s="50"/>
      <x:c r="M253" s="50"/>
      <x:c r="N253" s="50"/>
      <x:c r="O253" s="50"/>
    </x:row>
    <x:row r="254">
      <x:c r="A254" s="50"/>
      <x:c r="B254" s="64"/>
      <x:c r="C254" s="50"/>
      <x:c r="D254" s="50"/>
      <x:c r="E254" s="50" t="str">
        <x:f>IFERROR(VLOOKUP(D254,Inventory!$B:$C,2,FALSE),"")</x:f>
      </x:c>
      <x:c r="F254" s="65"/>
      <x:c r="G254" s="66"/>
      <x:c r="H254" s="66" t="n">
        <x:f>F254*G254</x:f>
        <x:v>0</x:v>
      </x:c>
      <x:c r="I254" s="50"/>
      <x:c r="J254" s="50"/>
      <x:c r="K254" s="50"/>
      <x:c r="L254" s="50"/>
      <x:c r="M254" s="50"/>
      <x:c r="N254" s="50"/>
      <x:c r="O254" s="50"/>
    </x:row>
    <x:row r="255">
      <x:c r="A255" s="50"/>
      <x:c r="B255" s="64"/>
      <x:c r="C255" s="50"/>
      <x:c r="D255" s="50"/>
      <x:c r="E255" s="50" t="str">
        <x:f>IFERROR(VLOOKUP(D255,Inventory!$B:$C,2,FALSE),"")</x:f>
      </x:c>
      <x:c r="F255" s="65"/>
      <x:c r="G255" s="66"/>
      <x:c r="H255" s="66" t="n">
        <x:f>F255*G255</x:f>
        <x:v>0</x:v>
      </x:c>
      <x:c r="I255" s="50"/>
      <x:c r="J255" s="50"/>
      <x:c r="K255" s="50"/>
      <x:c r="L255" s="50"/>
      <x:c r="M255" s="50"/>
      <x:c r="N255" s="50"/>
      <x:c r="O255" s="50"/>
    </x:row>
    <x:row r="256">
      <x:c r="A256" s="50"/>
      <x:c r="B256" s="64"/>
      <x:c r="C256" s="50"/>
      <x:c r="D256" s="50"/>
      <x:c r="E256" s="50" t="str">
        <x:f>IFERROR(VLOOKUP(D256,Inventory!$B:$C,2,FALSE),"")</x:f>
      </x:c>
      <x:c r="F256" s="65"/>
      <x:c r="G256" s="66"/>
      <x:c r="H256" s="66" t="n">
        <x:f>F256*G256</x:f>
        <x:v>0</x:v>
      </x:c>
      <x:c r="I256" s="50"/>
      <x:c r="J256" s="50"/>
      <x:c r="K256" s="50"/>
      <x:c r="L256" s="50"/>
      <x:c r="M256" s="50"/>
      <x:c r="N256" s="50"/>
      <x:c r="O256" s="50"/>
    </x:row>
    <x:row r="257">
      <x:c r="A257" s="50"/>
      <x:c r="B257" s="64"/>
      <x:c r="C257" s="50"/>
      <x:c r="D257" s="50"/>
      <x:c r="E257" s="50" t="str">
        <x:f>IFERROR(VLOOKUP(D257,Inventory!$B:$C,2,FALSE),"")</x:f>
      </x:c>
      <x:c r="F257" s="65"/>
      <x:c r="G257" s="66"/>
      <x:c r="H257" s="66" t="n">
        <x:f>F257*G257</x:f>
        <x:v>0</x:v>
      </x:c>
      <x:c r="I257" s="50"/>
      <x:c r="J257" s="50"/>
      <x:c r="K257" s="50"/>
      <x:c r="L257" s="50"/>
      <x:c r="M257" s="50"/>
      <x:c r="N257" s="50"/>
      <x:c r="O257" s="50"/>
    </x:row>
    <x:row r="258">
      <x:c r="A258" s="50"/>
      <x:c r="B258" s="64"/>
      <x:c r="C258" s="50"/>
      <x:c r="D258" s="50"/>
      <x:c r="E258" s="50" t="str">
        <x:f>IFERROR(VLOOKUP(D258,Inventory!$B:$C,2,FALSE),"")</x:f>
      </x:c>
      <x:c r="F258" s="65"/>
      <x:c r="G258" s="66"/>
      <x:c r="H258" s="66" t="n">
        <x:f>F258*G258</x:f>
        <x:v>0</x:v>
      </x:c>
      <x:c r="I258" s="50"/>
      <x:c r="J258" s="50"/>
      <x:c r="K258" s="50"/>
      <x:c r="L258" s="50"/>
      <x:c r="M258" s="50"/>
      <x:c r="N258" s="50"/>
      <x:c r="O258" s="50"/>
    </x:row>
    <x:row r="259">
      <x:c r="A259" s="50"/>
      <x:c r="B259" s="64"/>
      <x:c r="C259" s="50"/>
      <x:c r="D259" s="50"/>
      <x:c r="E259" s="50" t="str">
        <x:f>IFERROR(VLOOKUP(D259,Inventory!$B:$C,2,FALSE),"")</x:f>
      </x:c>
      <x:c r="F259" s="65"/>
      <x:c r="G259" s="66"/>
      <x:c r="H259" s="66" t="n">
        <x:f>F259*G259</x:f>
        <x:v>0</x:v>
      </x:c>
      <x:c r="I259" s="50"/>
      <x:c r="J259" s="50"/>
      <x:c r="K259" s="50"/>
      <x:c r="L259" s="50"/>
      <x:c r="M259" s="50"/>
      <x:c r="N259" s="50"/>
      <x:c r="O259" s="50"/>
    </x:row>
    <x:row r="260">
      <x:c r="A260" s="50"/>
      <x:c r="B260" s="64"/>
      <x:c r="C260" s="50"/>
      <x:c r="D260" s="50"/>
      <x:c r="E260" s="50" t="str">
        <x:f>IFERROR(VLOOKUP(D260,Inventory!$B:$C,2,FALSE),"")</x:f>
      </x:c>
      <x:c r="F260" s="65"/>
      <x:c r="G260" s="66"/>
      <x:c r="H260" s="66" t="n">
        <x:f>F260*G260</x:f>
        <x:v>0</x:v>
      </x:c>
      <x:c r="I260" s="50"/>
      <x:c r="J260" s="50"/>
      <x:c r="K260" s="50"/>
      <x:c r="L260" s="50"/>
      <x:c r="M260" s="50"/>
      <x:c r="N260" s="50"/>
      <x:c r="O260" s="50"/>
    </x:row>
    <x:row r="261">
      <x:c r="A261" s="50"/>
      <x:c r="B261" s="64"/>
      <x:c r="C261" s="50"/>
      <x:c r="D261" s="50"/>
      <x:c r="E261" s="50" t="str">
        <x:f>IFERROR(VLOOKUP(D261,Inventory!$B:$C,2,FALSE),"")</x:f>
      </x:c>
      <x:c r="F261" s="65"/>
      <x:c r="G261" s="66"/>
      <x:c r="H261" s="66" t="n">
        <x:f>F261*G261</x:f>
        <x:v>0</x:v>
      </x:c>
      <x:c r="I261" s="50"/>
      <x:c r="J261" s="50"/>
      <x:c r="K261" s="50"/>
      <x:c r="L261" s="50"/>
      <x:c r="M261" s="50"/>
      <x:c r="N261" s="50"/>
      <x:c r="O261" s="50"/>
    </x:row>
    <x:row r="262">
      <x:c r="A262" s="50"/>
      <x:c r="B262" s="64"/>
      <x:c r="C262" s="50"/>
      <x:c r="D262" s="50"/>
      <x:c r="E262" s="50" t="str">
        <x:f>IFERROR(VLOOKUP(D262,Inventory!$B:$C,2,FALSE),"")</x:f>
      </x:c>
      <x:c r="F262" s="65"/>
      <x:c r="G262" s="66"/>
      <x:c r="H262" s="66" t="n">
        <x:f>F262*G262</x:f>
        <x:v>0</x:v>
      </x:c>
      <x:c r="I262" s="50"/>
      <x:c r="J262" s="50"/>
      <x:c r="K262" s="50"/>
      <x:c r="L262" s="50"/>
      <x:c r="M262" s="50"/>
      <x:c r="N262" s="50"/>
      <x:c r="O262" s="50"/>
    </x:row>
    <x:row r="263">
      <x:c r="A263" s="50"/>
      <x:c r="B263" s="64"/>
      <x:c r="C263" s="50"/>
      <x:c r="D263" s="50"/>
      <x:c r="E263" s="50" t="str">
        <x:f>IFERROR(VLOOKUP(D263,Inventory!$B:$C,2,FALSE),"")</x:f>
      </x:c>
      <x:c r="F263" s="65"/>
      <x:c r="G263" s="66"/>
      <x:c r="H263" s="66" t="n">
        <x:f>F263*G263</x:f>
        <x:v>0</x:v>
      </x:c>
      <x:c r="I263" s="50"/>
      <x:c r="J263" s="50"/>
      <x:c r="K263" s="50"/>
      <x:c r="L263" s="50"/>
      <x:c r="M263" s="50"/>
      <x:c r="N263" s="50"/>
      <x:c r="O263" s="50"/>
    </x:row>
    <x:row r="264">
      <x:c r="A264" s="50"/>
      <x:c r="B264" s="64"/>
      <x:c r="C264" s="50"/>
      <x:c r="D264" s="50"/>
      <x:c r="E264" s="50" t="str">
        <x:f>IFERROR(VLOOKUP(D264,Inventory!$B:$C,2,FALSE),"")</x:f>
      </x:c>
      <x:c r="F264" s="65"/>
      <x:c r="G264" s="66"/>
      <x:c r="H264" s="66" t="n">
        <x:f>F264*G264</x:f>
        <x:v>0</x:v>
      </x:c>
      <x:c r="I264" s="50"/>
      <x:c r="J264" s="50"/>
      <x:c r="K264" s="50"/>
      <x:c r="L264" s="50"/>
      <x:c r="M264" s="50"/>
      <x:c r="N264" s="50"/>
      <x:c r="O264" s="50"/>
    </x:row>
    <x:row r="265">
      <x:c r="A265" s="50"/>
      <x:c r="B265" s="64"/>
      <x:c r="C265" s="50"/>
      <x:c r="D265" s="50"/>
      <x:c r="E265" s="50" t="str">
        <x:f>IFERROR(VLOOKUP(D265,Inventory!$B:$C,2,FALSE),"")</x:f>
      </x:c>
      <x:c r="F265" s="65"/>
      <x:c r="G265" s="66"/>
      <x:c r="H265" s="66" t="n">
        <x:f>F265*G265</x:f>
        <x:v>0</x:v>
      </x:c>
      <x:c r="I265" s="50"/>
      <x:c r="J265" s="50"/>
      <x:c r="K265" s="50"/>
      <x:c r="L265" s="50"/>
      <x:c r="M265" s="50"/>
      <x:c r="N265" s="50"/>
      <x:c r="O265" s="50"/>
    </x:row>
    <x:row r="266">
      <x:c r="A266" s="50"/>
      <x:c r="B266" s="64"/>
      <x:c r="C266" s="50"/>
      <x:c r="D266" s="50"/>
      <x:c r="E266" s="50" t="str">
        <x:f>IFERROR(VLOOKUP(D266,Inventory!$B:$C,2,FALSE),"")</x:f>
      </x:c>
      <x:c r="F266" s="65"/>
      <x:c r="G266" s="66"/>
      <x:c r="H266" s="66" t="n">
        <x:f>F266*G266</x:f>
        <x:v>0</x:v>
      </x:c>
      <x:c r="I266" s="50"/>
      <x:c r="J266" s="50"/>
      <x:c r="K266" s="50"/>
      <x:c r="L266" s="50"/>
      <x:c r="M266" s="50"/>
      <x:c r="N266" s="50"/>
      <x:c r="O266" s="50"/>
    </x:row>
    <x:row r="267">
      <x:c r="A267" s="50"/>
      <x:c r="B267" s="64"/>
      <x:c r="C267" s="50"/>
      <x:c r="D267" s="50"/>
      <x:c r="E267" s="50" t="str">
        <x:f>IFERROR(VLOOKUP(D267,Inventory!$B:$C,2,FALSE),"")</x:f>
      </x:c>
      <x:c r="F267" s="65"/>
      <x:c r="G267" s="66"/>
      <x:c r="H267" s="66" t="n">
        <x:f>F267*G267</x:f>
        <x:v>0</x:v>
      </x:c>
      <x:c r="I267" s="50"/>
      <x:c r="J267" s="50"/>
      <x:c r="K267" s="50"/>
      <x:c r="L267" s="50"/>
      <x:c r="M267" s="50"/>
      <x:c r="N267" s="50"/>
      <x:c r="O267" s="50"/>
    </x:row>
    <x:row r="268">
      <x:c r="A268" s="50"/>
      <x:c r="B268" s="64"/>
      <x:c r="C268" s="50"/>
      <x:c r="D268" s="50"/>
      <x:c r="E268" s="50" t="str">
        <x:f>IFERROR(VLOOKUP(D268,Inventory!$B:$C,2,FALSE),"")</x:f>
      </x:c>
      <x:c r="F268" s="65"/>
      <x:c r="G268" s="66"/>
      <x:c r="H268" s="66" t="n">
        <x:f>F268*G268</x:f>
        <x:v>0</x:v>
      </x:c>
      <x:c r="I268" s="50"/>
      <x:c r="J268" s="50"/>
      <x:c r="K268" s="50"/>
      <x:c r="L268" s="50"/>
      <x:c r="M268" s="50"/>
      <x:c r="N268" s="50"/>
      <x:c r="O268" s="50"/>
    </x:row>
    <x:row r="269">
      <x:c r="A269" s="50"/>
      <x:c r="B269" s="64"/>
      <x:c r="C269" s="50"/>
      <x:c r="D269" s="50"/>
      <x:c r="E269" s="50" t="str">
        <x:f>IFERROR(VLOOKUP(D269,Inventory!$B:$C,2,FALSE),"")</x:f>
      </x:c>
      <x:c r="F269" s="65"/>
      <x:c r="G269" s="66"/>
      <x:c r="H269" s="66" t="n">
        <x:f>F269*G269</x:f>
        <x:v>0</x:v>
      </x:c>
      <x:c r="I269" s="50"/>
      <x:c r="J269" s="50"/>
      <x:c r="K269" s="50"/>
      <x:c r="L269" s="50"/>
      <x:c r="M269" s="50"/>
      <x:c r="N269" s="50"/>
      <x:c r="O269" s="50"/>
    </x:row>
    <x:row r="270">
      <x:c r="A270" s="50"/>
      <x:c r="B270" s="64"/>
      <x:c r="C270" s="50"/>
      <x:c r="D270" s="50"/>
      <x:c r="E270" s="50" t="str">
        <x:f>IFERROR(VLOOKUP(D270,Inventory!$B:$C,2,FALSE),"")</x:f>
      </x:c>
      <x:c r="F270" s="65"/>
      <x:c r="G270" s="66"/>
      <x:c r="H270" s="66" t="n">
        <x:f>F270*G270</x:f>
        <x:v>0</x:v>
      </x:c>
      <x:c r="I270" s="50"/>
      <x:c r="J270" s="50"/>
      <x:c r="K270" s="50"/>
      <x:c r="L270" s="50"/>
      <x:c r="M270" s="50"/>
      <x:c r="N270" s="50"/>
      <x:c r="O270" s="50"/>
    </x:row>
    <x:row r="271">
      <x:c r="A271" s="50"/>
      <x:c r="B271" s="64"/>
      <x:c r="C271" s="50"/>
      <x:c r="D271" s="50"/>
      <x:c r="E271" s="50" t="str">
        <x:f>IFERROR(VLOOKUP(D271,Inventory!$B:$C,2,FALSE),"")</x:f>
      </x:c>
      <x:c r="F271" s="65"/>
      <x:c r="G271" s="66"/>
      <x:c r="H271" s="66" t="n">
        <x:f>F271*G271</x:f>
        <x:v>0</x:v>
      </x:c>
      <x:c r="I271" s="50"/>
      <x:c r="J271" s="50"/>
      <x:c r="K271" s="50"/>
      <x:c r="L271" s="50"/>
      <x:c r="M271" s="50"/>
      <x:c r="N271" s="50"/>
      <x:c r="O271" s="50"/>
    </x:row>
    <x:row r="272">
      <x:c r="A272" s="50"/>
      <x:c r="B272" s="64"/>
      <x:c r="C272" s="50"/>
      <x:c r="D272" s="50"/>
      <x:c r="E272" s="50" t="str">
        <x:f>IFERROR(VLOOKUP(D272,Inventory!$B:$C,2,FALSE),"")</x:f>
      </x:c>
      <x:c r="F272" s="65"/>
      <x:c r="G272" s="66"/>
      <x:c r="H272" s="66" t="n">
        <x:f>F272*G272</x:f>
        <x:v>0</x:v>
      </x:c>
      <x:c r="I272" s="50"/>
      <x:c r="J272" s="50"/>
      <x:c r="K272" s="50"/>
      <x:c r="L272" s="50"/>
      <x:c r="M272" s="50"/>
      <x:c r="N272" s="50"/>
      <x:c r="O272" s="50"/>
    </x:row>
    <x:row r="273">
      <x:c r="A273" s="50"/>
      <x:c r="B273" s="64"/>
      <x:c r="C273" s="50"/>
      <x:c r="D273" s="50"/>
      <x:c r="E273" s="50" t="str">
        <x:f>IFERROR(VLOOKUP(D273,Inventory!$B:$C,2,FALSE),"")</x:f>
      </x:c>
      <x:c r="F273" s="65"/>
      <x:c r="G273" s="66"/>
      <x:c r="H273" s="66" t="n">
        <x:f>F273*G273</x:f>
        <x:v>0</x:v>
      </x:c>
      <x:c r="I273" s="50"/>
      <x:c r="J273" s="50"/>
      <x:c r="K273" s="50"/>
      <x:c r="L273" s="50"/>
      <x:c r="M273" s="50"/>
      <x:c r="N273" s="50"/>
      <x:c r="O273" s="50"/>
    </x:row>
    <x:row r="274">
      <x:c r="A274" s="50"/>
      <x:c r="B274" s="64"/>
      <x:c r="C274" s="50"/>
      <x:c r="D274" s="50"/>
      <x:c r="E274" s="50" t="str">
        <x:f>IFERROR(VLOOKUP(D274,Inventory!$B:$C,2,FALSE),"")</x:f>
      </x:c>
      <x:c r="F274" s="65"/>
      <x:c r="G274" s="66"/>
      <x:c r="H274" s="66" t="n">
        <x:f>F274*G274</x:f>
        <x:v>0</x:v>
      </x:c>
      <x:c r="I274" s="50"/>
      <x:c r="J274" s="50"/>
      <x:c r="K274" s="50"/>
      <x:c r="L274" s="50"/>
      <x:c r="M274" s="50"/>
      <x:c r="N274" s="50"/>
      <x:c r="O274" s="50"/>
    </x:row>
    <x:row r="275">
      <x:c r="A275" s="50"/>
      <x:c r="B275" s="64"/>
      <x:c r="C275" s="50"/>
      <x:c r="D275" s="50"/>
      <x:c r="E275" s="50" t="str">
        <x:f>IFERROR(VLOOKUP(D275,Inventory!$B:$C,2,FALSE),"")</x:f>
      </x:c>
      <x:c r="F275" s="65"/>
      <x:c r="G275" s="66"/>
      <x:c r="H275" s="66" t="n">
        <x:f>F275*G275</x:f>
        <x:v>0</x:v>
      </x:c>
      <x:c r="I275" s="50"/>
      <x:c r="J275" s="50"/>
      <x:c r="K275" s="50"/>
      <x:c r="L275" s="50"/>
      <x:c r="M275" s="50"/>
      <x:c r="N275" s="50"/>
      <x:c r="O275" s="50"/>
    </x:row>
    <x:row r="276">
      <x:c r="A276" s="50"/>
      <x:c r="B276" s="64"/>
      <x:c r="C276" s="50"/>
      <x:c r="D276" s="50"/>
      <x:c r="E276" s="50" t="str">
        <x:f>IFERROR(VLOOKUP(D276,Inventory!$B:$C,2,FALSE),"")</x:f>
      </x:c>
      <x:c r="F276" s="65"/>
      <x:c r="G276" s="66"/>
      <x:c r="H276" s="66" t="n">
        <x:f>F276*G276</x:f>
        <x:v>0</x:v>
      </x:c>
      <x:c r="I276" s="50"/>
      <x:c r="J276" s="50"/>
      <x:c r="K276" s="50"/>
      <x:c r="L276" s="50"/>
      <x:c r="M276" s="50"/>
      <x:c r="N276" s="50"/>
      <x:c r="O276" s="50"/>
    </x:row>
    <x:row r="277">
      <x:c r="A277" s="50"/>
      <x:c r="B277" s="64"/>
      <x:c r="C277" s="50"/>
      <x:c r="D277" s="50"/>
      <x:c r="E277" s="50" t="str">
        <x:f>IFERROR(VLOOKUP(D277,Inventory!$B:$C,2,FALSE),"")</x:f>
      </x:c>
      <x:c r="F277" s="65"/>
      <x:c r="G277" s="66"/>
      <x:c r="H277" s="66" t="n">
        <x:f>F277*G277</x:f>
        <x:v>0</x:v>
      </x:c>
      <x:c r="I277" s="50"/>
      <x:c r="J277" s="50"/>
      <x:c r="K277" s="50"/>
      <x:c r="L277" s="50"/>
      <x:c r="M277" s="50"/>
      <x:c r="N277" s="50"/>
      <x:c r="O277" s="50"/>
    </x:row>
    <x:row r="278">
      <x:c r="A278" s="50"/>
      <x:c r="B278" s="64"/>
      <x:c r="C278" s="50"/>
      <x:c r="D278" s="50"/>
      <x:c r="E278" s="50" t="str">
        <x:f>IFERROR(VLOOKUP(D278,Inventory!$B:$C,2,FALSE),"")</x:f>
      </x:c>
      <x:c r="F278" s="65"/>
      <x:c r="G278" s="66"/>
      <x:c r="H278" s="66" t="n">
        <x:f>F278*G278</x:f>
        <x:v>0</x:v>
      </x:c>
      <x:c r="I278" s="50"/>
      <x:c r="J278" s="50"/>
      <x:c r="K278" s="50"/>
      <x:c r="L278" s="50"/>
      <x:c r="M278" s="50"/>
      <x:c r="N278" s="50"/>
      <x:c r="O278" s="50"/>
    </x:row>
    <x:row r="279">
      <x:c r="A279" s="50"/>
      <x:c r="B279" s="64"/>
      <x:c r="C279" s="50"/>
      <x:c r="D279" s="50"/>
      <x:c r="E279" s="50" t="str">
        <x:f>IFERROR(VLOOKUP(D279,Inventory!$B:$C,2,FALSE),"")</x:f>
      </x:c>
      <x:c r="F279" s="65"/>
      <x:c r="G279" s="66"/>
      <x:c r="H279" s="66" t="n">
        <x:f>F279*G279</x:f>
        <x:v>0</x:v>
      </x:c>
      <x:c r="I279" s="50"/>
      <x:c r="J279" s="50"/>
      <x:c r="K279" s="50"/>
      <x:c r="L279" s="50"/>
      <x:c r="M279" s="50"/>
      <x:c r="N279" s="50"/>
      <x:c r="O279" s="50"/>
    </x:row>
    <x:row r="280">
      <x:c r="A280" s="50"/>
      <x:c r="B280" s="64"/>
      <x:c r="C280" s="50"/>
      <x:c r="D280" s="50"/>
      <x:c r="E280" s="50" t="str">
        <x:f>IFERROR(VLOOKUP(D280,Inventory!$B:$C,2,FALSE),"")</x:f>
      </x:c>
      <x:c r="F280" s="65"/>
      <x:c r="G280" s="66"/>
      <x:c r="H280" s="66" t="n">
        <x:f>F280*G280</x:f>
        <x:v>0</x:v>
      </x:c>
      <x:c r="I280" s="50"/>
      <x:c r="J280" s="50"/>
      <x:c r="K280" s="50"/>
      <x:c r="L280" s="50"/>
      <x:c r="M280" s="50"/>
      <x:c r="N280" s="50"/>
      <x:c r="O280" s="50"/>
    </x:row>
    <x:row r="281">
      <x:c r="A281" s="50"/>
      <x:c r="B281" s="64"/>
      <x:c r="C281" s="50"/>
      <x:c r="D281" s="50"/>
      <x:c r="E281" s="50" t="str">
        <x:f>IFERROR(VLOOKUP(D281,Inventory!$B:$C,2,FALSE),"")</x:f>
      </x:c>
      <x:c r="F281" s="65"/>
      <x:c r="G281" s="66"/>
      <x:c r="H281" s="66" t="n">
        <x:f>F281*G281</x:f>
        <x:v>0</x:v>
      </x:c>
      <x:c r="I281" s="50"/>
      <x:c r="J281" s="50"/>
      <x:c r="K281" s="50"/>
      <x:c r="L281" s="50"/>
      <x:c r="M281" s="50"/>
      <x:c r="N281" s="50"/>
      <x:c r="O281" s="50"/>
    </x:row>
    <x:row r="282">
      <x:c r="A282" s="50"/>
      <x:c r="B282" s="64"/>
      <x:c r="C282" s="50"/>
      <x:c r="D282" s="50"/>
      <x:c r="E282" s="50" t="str">
        <x:f>IFERROR(VLOOKUP(D282,Inventory!$B:$C,2,FALSE),"")</x:f>
      </x:c>
      <x:c r="F282" s="65"/>
      <x:c r="G282" s="66"/>
      <x:c r="H282" s="66" t="n">
        <x:f>F282*G282</x:f>
        <x:v>0</x:v>
      </x:c>
      <x:c r="I282" s="50"/>
      <x:c r="J282" s="50"/>
      <x:c r="K282" s="50"/>
      <x:c r="L282" s="50"/>
      <x:c r="M282" s="50"/>
      <x:c r="N282" s="50"/>
      <x:c r="O282" s="50"/>
    </x:row>
    <x:row r="283">
      <x:c r="A283" s="50"/>
      <x:c r="B283" s="64"/>
      <x:c r="C283" s="50"/>
      <x:c r="D283" s="50"/>
      <x:c r="E283" s="50" t="str">
        <x:f>IFERROR(VLOOKUP(D283,Inventory!$B:$C,2,FALSE),"")</x:f>
      </x:c>
      <x:c r="F283" s="65"/>
      <x:c r="G283" s="66"/>
      <x:c r="H283" s="66" t="n">
        <x:f>F283*G283</x:f>
        <x:v>0</x:v>
      </x:c>
      <x:c r="I283" s="50"/>
      <x:c r="J283" s="50"/>
      <x:c r="K283" s="50"/>
      <x:c r="L283" s="50"/>
      <x:c r="M283" s="50"/>
      <x:c r="N283" s="50"/>
      <x:c r="O283" s="50"/>
    </x:row>
    <x:row r="284">
      <x:c r="A284" s="50"/>
      <x:c r="B284" s="64"/>
      <x:c r="C284" s="50"/>
      <x:c r="D284" s="50"/>
      <x:c r="E284" s="50" t="str">
        <x:f>IFERROR(VLOOKUP(D284,Inventory!$B:$C,2,FALSE),"")</x:f>
      </x:c>
      <x:c r="F284" s="65"/>
      <x:c r="G284" s="66"/>
      <x:c r="H284" s="66" t="n">
        <x:f>F284*G284</x:f>
        <x:v>0</x:v>
      </x:c>
      <x:c r="I284" s="50"/>
      <x:c r="J284" s="50"/>
      <x:c r="K284" s="50"/>
      <x:c r="L284" s="50"/>
      <x:c r="M284" s="50"/>
      <x:c r="N284" s="50"/>
      <x:c r="O284" s="50"/>
    </x:row>
    <x:row r="285">
      <x:c r="A285" s="50"/>
      <x:c r="B285" s="64"/>
      <x:c r="C285" s="50"/>
      <x:c r="D285" s="50"/>
      <x:c r="E285" s="50" t="str">
        <x:f>IFERROR(VLOOKUP(D285,Inventory!$B:$C,2,FALSE),"")</x:f>
      </x:c>
      <x:c r="F285" s="65"/>
      <x:c r="G285" s="66"/>
      <x:c r="H285" s="66" t="n">
        <x:f>F285*G285</x:f>
        <x:v>0</x:v>
      </x:c>
      <x:c r="I285" s="50"/>
      <x:c r="J285" s="50"/>
      <x:c r="K285" s="50"/>
      <x:c r="L285" s="50"/>
      <x:c r="M285" s="50"/>
      <x:c r="N285" s="50"/>
      <x:c r="O285" s="50"/>
    </x:row>
    <x:row r="286">
      <x:c r="A286" s="50"/>
      <x:c r="B286" s="64"/>
      <x:c r="C286" s="50"/>
      <x:c r="D286" s="50"/>
      <x:c r="E286" s="50" t="str">
        <x:f>IFERROR(VLOOKUP(D286,Inventory!$B:$C,2,FALSE),"")</x:f>
      </x:c>
      <x:c r="F286" s="65"/>
      <x:c r="G286" s="66"/>
      <x:c r="H286" s="66" t="n">
        <x:f>F286*G286</x:f>
        <x:v>0</x:v>
      </x:c>
      <x:c r="I286" s="50"/>
      <x:c r="J286" s="50"/>
      <x:c r="K286" s="50"/>
      <x:c r="L286" s="50"/>
      <x:c r="M286" s="50"/>
      <x:c r="N286" s="50"/>
      <x:c r="O286" s="50"/>
    </x:row>
    <x:row r="287">
      <x:c r="A287" s="50"/>
      <x:c r="B287" s="64"/>
      <x:c r="C287" s="50"/>
      <x:c r="D287" s="50"/>
      <x:c r="E287" s="50" t="str">
        <x:f>IFERROR(VLOOKUP(D287,Inventory!$B:$C,2,FALSE),"")</x:f>
      </x:c>
      <x:c r="F287" s="65"/>
      <x:c r="G287" s="66"/>
      <x:c r="H287" s="66" t="n">
        <x:f>F287*G287</x:f>
        <x:v>0</x:v>
      </x:c>
      <x:c r="I287" s="50"/>
      <x:c r="J287" s="50"/>
      <x:c r="K287" s="50"/>
      <x:c r="L287" s="50"/>
      <x:c r="M287" s="50"/>
      <x:c r="N287" s="50"/>
      <x:c r="O287" s="50"/>
    </x:row>
    <x:row r="288">
      <x:c r="A288" s="50"/>
      <x:c r="B288" s="64"/>
      <x:c r="C288" s="50"/>
      <x:c r="D288" s="50"/>
      <x:c r="E288" s="50" t="str">
        <x:f>IFERROR(VLOOKUP(D288,Inventory!$B:$C,2,FALSE),"")</x:f>
      </x:c>
      <x:c r="F288" s="65"/>
      <x:c r="G288" s="66"/>
      <x:c r="H288" s="66" t="n">
        <x:f>F288*G288</x:f>
        <x:v>0</x:v>
      </x:c>
      <x:c r="I288" s="50"/>
      <x:c r="J288" s="50"/>
      <x:c r="K288" s="50"/>
      <x:c r="L288" s="50"/>
      <x:c r="M288" s="50"/>
      <x:c r="N288" s="50"/>
      <x:c r="O288" s="50"/>
    </x:row>
    <x:row r="289">
      <x:c r="A289" s="50"/>
      <x:c r="B289" s="64"/>
      <x:c r="C289" s="50"/>
      <x:c r="D289" s="50"/>
      <x:c r="E289" s="50" t="str">
        <x:f>IFERROR(VLOOKUP(D289,Inventory!$B:$C,2,FALSE),"")</x:f>
      </x:c>
      <x:c r="F289" s="65"/>
      <x:c r="G289" s="66"/>
      <x:c r="H289" s="66" t="n">
        <x:f>F289*G289</x:f>
        <x:v>0</x:v>
      </x:c>
      <x:c r="I289" s="50"/>
      <x:c r="J289" s="50"/>
      <x:c r="K289" s="50"/>
      <x:c r="L289" s="50"/>
      <x:c r="M289" s="50"/>
      <x:c r="N289" s="50"/>
      <x:c r="O289" s="50"/>
    </x:row>
    <x:row r="290">
      <x:c r="A290" s="50"/>
      <x:c r="B290" s="64"/>
      <x:c r="C290" s="50"/>
      <x:c r="D290" s="50"/>
      <x:c r="E290" s="50" t="str">
        <x:f>IFERROR(VLOOKUP(D290,Inventory!$B:$C,2,FALSE),"")</x:f>
      </x:c>
      <x:c r="F290" s="65"/>
      <x:c r="G290" s="66"/>
      <x:c r="H290" s="66" t="n">
        <x:f>F290*G290</x:f>
        <x:v>0</x:v>
      </x:c>
      <x:c r="I290" s="50"/>
      <x:c r="J290" s="50"/>
      <x:c r="K290" s="50"/>
      <x:c r="L290" s="50"/>
      <x:c r="M290" s="50"/>
      <x:c r="N290" s="50"/>
      <x:c r="O290" s="50"/>
    </x:row>
    <x:row r="291">
      <x:c r="A291" s="50"/>
      <x:c r="B291" s="64"/>
      <x:c r="C291" s="50"/>
      <x:c r="D291" s="50"/>
      <x:c r="E291" s="50" t="str">
        <x:f>IFERROR(VLOOKUP(D291,Inventory!$B:$C,2,FALSE),"")</x:f>
      </x:c>
      <x:c r="F291" s="65"/>
      <x:c r="G291" s="66"/>
      <x:c r="H291" s="66" t="n">
        <x:f>F291*G291</x:f>
        <x:v>0</x:v>
      </x:c>
      <x:c r="I291" s="50"/>
      <x:c r="J291" s="50"/>
      <x:c r="K291" s="50"/>
      <x:c r="L291" s="50"/>
      <x:c r="M291" s="50"/>
      <x:c r="N291" s="50"/>
      <x:c r="O291" s="50"/>
    </x:row>
    <x:row r="292">
      <x:c r="A292" s="50"/>
      <x:c r="B292" s="64"/>
      <x:c r="C292" s="50"/>
      <x:c r="D292" s="50"/>
      <x:c r="E292" s="50" t="str">
        <x:f>IFERROR(VLOOKUP(D292,Inventory!$B:$C,2,FALSE),"")</x:f>
      </x:c>
      <x:c r="F292" s="65"/>
      <x:c r="G292" s="66"/>
      <x:c r="H292" s="66" t="n">
        <x:f>F292*G292</x:f>
        <x:v>0</x:v>
      </x:c>
      <x:c r="I292" s="50"/>
      <x:c r="J292" s="50"/>
      <x:c r="K292" s="50"/>
      <x:c r="L292" s="50"/>
      <x:c r="M292" s="50"/>
      <x:c r="N292" s="50"/>
      <x:c r="O292" s="50"/>
    </x:row>
    <x:row r="293">
      <x:c r="A293" s="50"/>
      <x:c r="B293" s="64"/>
      <x:c r="C293" s="50"/>
      <x:c r="D293" s="50"/>
      <x:c r="E293" s="50" t="str">
        <x:f>IFERROR(VLOOKUP(D293,Inventory!$B:$C,2,FALSE),"")</x:f>
      </x:c>
      <x:c r="F293" s="65"/>
      <x:c r="G293" s="66"/>
      <x:c r="H293" s="66" t="n">
        <x:f>F293*G293</x:f>
        <x:v>0</x:v>
      </x:c>
      <x:c r="I293" s="50"/>
      <x:c r="J293" s="50"/>
      <x:c r="K293" s="50"/>
      <x:c r="L293" s="50"/>
      <x:c r="M293" s="50"/>
      <x:c r="N293" s="50"/>
      <x:c r="O293" s="50"/>
    </x:row>
    <x:row r="294">
      <x:c r="A294" s="50"/>
      <x:c r="B294" s="64"/>
      <x:c r="C294" s="50"/>
      <x:c r="D294" s="50"/>
      <x:c r="E294" s="50" t="str">
        <x:f>IFERROR(VLOOKUP(D294,Inventory!$B:$C,2,FALSE),"")</x:f>
      </x:c>
      <x:c r="F294" s="65"/>
      <x:c r="G294" s="66"/>
      <x:c r="H294" s="66" t="n">
        <x:f>F294*G294</x:f>
        <x:v>0</x:v>
      </x:c>
      <x:c r="I294" s="50"/>
      <x:c r="J294" s="50"/>
      <x:c r="K294" s="50"/>
      <x:c r="L294" s="50"/>
      <x:c r="M294" s="50"/>
      <x:c r="N294" s="50"/>
      <x:c r="O294" s="50"/>
    </x:row>
    <x:row r="295">
      <x:c r="A295" s="50"/>
      <x:c r="B295" s="64"/>
      <x:c r="C295" s="50"/>
      <x:c r="D295" s="50"/>
      <x:c r="E295" s="50" t="str">
        <x:f>IFERROR(VLOOKUP(D295,Inventory!$B:$C,2,FALSE),"")</x:f>
      </x:c>
      <x:c r="F295" s="65"/>
      <x:c r="G295" s="66"/>
      <x:c r="H295" s="66" t="n">
        <x:f>F295*G295</x:f>
        <x:v>0</x:v>
      </x:c>
      <x:c r="I295" s="50"/>
      <x:c r="J295" s="50"/>
      <x:c r="K295" s="50"/>
      <x:c r="L295" s="50"/>
      <x:c r="M295" s="50"/>
      <x:c r="N295" s="50"/>
      <x:c r="O295" s="50"/>
    </x:row>
    <x:row r="296">
      <x:c r="A296" s="50"/>
      <x:c r="B296" s="64"/>
      <x:c r="C296" s="50"/>
      <x:c r="D296" s="50"/>
      <x:c r="E296" s="50" t="str">
        <x:f>IFERROR(VLOOKUP(D296,Inventory!$B:$C,2,FALSE),"")</x:f>
      </x:c>
      <x:c r="F296" s="65"/>
      <x:c r="G296" s="66"/>
      <x:c r="H296" s="66" t="n">
        <x:f>F296*G296</x:f>
        <x:v>0</x:v>
      </x:c>
      <x:c r="I296" s="50"/>
      <x:c r="J296" s="50"/>
      <x:c r="K296" s="50"/>
      <x:c r="L296" s="50"/>
      <x:c r="M296" s="50"/>
      <x:c r="N296" s="50"/>
      <x:c r="O296" s="50"/>
    </x:row>
    <x:row r="297">
      <x:c r="A297" s="50"/>
      <x:c r="B297" s="64"/>
      <x:c r="C297" s="50"/>
      <x:c r="D297" s="50"/>
      <x:c r="E297" s="50" t="str">
        <x:f>IFERROR(VLOOKUP(D297,Inventory!$B:$C,2,FALSE),"")</x:f>
      </x:c>
      <x:c r="F297" s="65"/>
      <x:c r="G297" s="66"/>
      <x:c r="H297" s="66" t="n">
        <x:f>F297*G297</x:f>
        <x:v>0</x:v>
      </x:c>
      <x:c r="I297" s="50"/>
      <x:c r="J297" s="50"/>
      <x:c r="K297" s="50"/>
      <x:c r="L297" s="50"/>
      <x:c r="M297" s="50"/>
      <x:c r="N297" s="50"/>
      <x:c r="O297" s="50"/>
    </x:row>
    <x:row r="298">
      <x:c r="A298" s="50"/>
      <x:c r="B298" s="64"/>
      <x:c r="C298" s="50"/>
      <x:c r="D298" s="50"/>
      <x:c r="E298" s="50" t="str">
        <x:f>IFERROR(VLOOKUP(D298,Inventory!$B:$C,2,FALSE),"")</x:f>
      </x:c>
      <x:c r="F298" s="65"/>
      <x:c r="G298" s="66"/>
      <x:c r="H298" s="66" t="n">
        <x:f>F298*G298</x:f>
        <x:v>0</x:v>
      </x:c>
      <x:c r="I298" s="50"/>
      <x:c r="J298" s="50"/>
      <x:c r="K298" s="50"/>
      <x:c r="L298" s="50"/>
      <x:c r="M298" s="50"/>
      <x:c r="N298" s="50"/>
      <x:c r="O298" s="50"/>
    </x:row>
    <x:row r="299">
      <x:c r="A299" s="50"/>
      <x:c r="B299" s="64"/>
      <x:c r="C299" s="50"/>
      <x:c r="D299" s="50"/>
      <x:c r="E299" s="50" t="str">
        <x:f>IFERROR(VLOOKUP(D299,Inventory!$B:$C,2,FALSE),"")</x:f>
      </x:c>
      <x:c r="F299" s="65"/>
      <x:c r="G299" s="66"/>
      <x:c r="H299" s="66" t="n">
        <x:f>F299*G299</x:f>
        <x:v>0</x:v>
      </x:c>
      <x:c r="I299" s="50"/>
      <x:c r="J299" s="50"/>
      <x:c r="K299" s="50"/>
      <x:c r="L299" s="50"/>
      <x:c r="M299" s="50"/>
      <x:c r="N299" s="50"/>
      <x:c r="O299" s="50"/>
    </x:row>
    <x:row r="300">
      <x:c r="A300" s="50"/>
      <x:c r="B300" s="64"/>
      <x:c r="C300" s="50"/>
      <x:c r="D300" s="50"/>
      <x:c r="E300" s="50" t="str">
        <x:f>IFERROR(VLOOKUP(D300,Inventory!$B:$C,2,FALSE),"")</x:f>
      </x:c>
      <x:c r="F300" s="65"/>
      <x:c r="G300" s="66"/>
      <x:c r="H300" s="66" t="n">
        <x:f>F300*G300</x:f>
        <x:v>0</x:v>
      </x:c>
      <x:c r="I300" s="50"/>
      <x:c r="J300" s="50"/>
      <x:c r="K300" s="50"/>
      <x:c r="L300" s="50"/>
      <x:c r="M300" s="50"/>
      <x:c r="N300" s="50"/>
      <x:c r="O300" s="50"/>
    </x:row>
    <x:row r="301">
      <x:c r="A301" s="50"/>
      <x:c r="B301" s="64"/>
      <x:c r="C301" s="50"/>
      <x:c r="D301" s="50"/>
      <x:c r="E301" s="50" t="str">
        <x:f>IFERROR(VLOOKUP(D301,Inventory!$B:$C,2,FALSE),"")</x:f>
      </x:c>
      <x:c r="F301" s="65"/>
      <x:c r="G301" s="66"/>
      <x:c r="H301" s="66" t="n">
        <x:f>F301*G301</x:f>
        <x:v>0</x:v>
      </x:c>
      <x:c r="I301" s="50"/>
      <x:c r="J301" s="50"/>
      <x:c r="K301" s="50"/>
      <x:c r="L301" s="50"/>
      <x:c r="M301" s="50"/>
      <x:c r="N301" s="50"/>
      <x:c r="O301" s="50"/>
    </x:row>
    <x:row r="302">
      <x:c r="A302" s="50"/>
      <x:c r="B302" s="64"/>
      <x:c r="C302" s="50"/>
      <x:c r="D302" s="50"/>
      <x:c r="E302" s="50" t="str">
        <x:f>IFERROR(VLOOKUP(D302,Inventory!$B:$C,2,FALSE),"")</x:f>
      </x:c>
      <x:c r="F302" s="65"/>
      <x:c r="G302" s="66"/>
      <x:c r="H302" s="66" t="n">
        <x:f>F302*G302</x:f>
        <x:v>0</x:v>
      </x:c>
      <x:c r="I302" s="50"/>
      <x:c r="J302" s="50"/>
      <x:c r="K302" s="50"/>
      <x:c r="L302" s="50"/>
      <x:c r="M302" s="50"/>
      <x:c r="N302" s="50"/>
      <x:c r="O302" s="50"/>
    </x:row>
    <x:row r="303">
      <x:c r="A303" s="50"/>
      <x:c r="B303" s="64"/>
      <x:c r="C303" s="50"/>
      <x:c r="D303" s="50"/>
      <x:c r="E303" s="50" t="str">
        <x:f>IFERROR(VLOOKUP(D303,Inventory!$B:$C,2,FALSE),"")</x:f>
      </x:c>
      <x:c r="F303" s="65"/>
      <x:c r="G303" s="66"/>
      <x:c r="H303" s="66" t="n">
        <x:f>F303*G303</x:f>
        <x:v>0</x:v>
      </x:c>
      <x:c r="I303" s="50"/>
      <x:c r="J303" s="50"/>
      <x:c r="K303" s="50"/>
      <x:c r="L303" s="50"/>
      <x:c r="M303" s="50"/>
      <x:c r="N303" s="50"/>
      <x:c r="O303" s="50"/>
    </x:row>
    <x:row r="304">
      <x:c r="A304" s="50"/>
      <x:c r="B304" s="64"/>
      <x:c r="C304" s="50"/>
      <x:c r="D304" s="50"/>
      <x:c r="E304" s="50" t="str">
        <x:f>IFERROR(VLOOKUP(D304,Inventory!$B:$C,2,FALSE),"")</x:f>
      </x:c>
      <x:c r="F304" s="65"/>
      <x:c r="G304" s="66"/>
      <x:c r="H304" s="66" t="n">
        <x:f>F304*G304</x:f>
        <x:v>0</x:v>
      </x:c>
      <x:c r="I304" s="50"/>
      <x:c r="J304" s="50"/>
      <x:c r="K304" s="50"/>
      <x:c r="L304" s="50"/>
      <x:c r="M304" s="50"/>
      <x:c r="N304" s="50"/>
      <x:c r="O304" s="50"/>
    </x:row>
    <x:row r="305">
      <x:c r="A305" s="50"/>
      <x:c r="B305" s="64"/>
      <x:c r="C305" s="50"/>
      <x:c r="D305" s="50"/>
      <x:c r="E305" s="50" t="str">
        <x:f>IFERROR(VLOOKUP(D305,Inventory!$B:$C,2,FALSE),"")</x:f>
      </x:c>
      <x:c r="F305" s="65"/>
      <x:c r="G305" s="66"/>
      <x:c r="H305" s="66" t="n">
        <x:f>F305*G305</x:f>
        <x:v>0</x:v>
      </x:c>
      <x:c r="I305" s="50"/>
      <x:c r="J305" s="50"/>
      <x:c r="K305" s="50"/>
      <x:c r="L305" s="50"/>
      <x:c r="M305" s="50"/>
      <x:c r="N305" s="50"/>
      <x:c r="O305" s="50"/>
    </x:row>
    <x:row r="306">
      <x:c r="A306" s="50"/>
      <x:c r="B306" s="64"/>
      <x:c r="C306" s="50"/>
      <x:c r="D306" s="50"/>
      <x:c r="E306" s="50" t="str">
        <x:f>IFERROR(VLOOKUP(D306,Inventory!$B:$C,2,FALSE),"")</x:f>
      </x:c>
      <x:c r="F306" s="65"/>
      <x:c r="G306" s="66"/>
      <x:c r="H306" s="66" t="n">
        <x:f>F306*G306</x:f>
        <x:v>0</x:v>
      </x:c>
      <x:c r="I306" s="50"/>
      <x:c r="J306" s="50"/>
      <x:c r="K306" s="50"/>
      <x:c r="L306" s="50"/>
      <x:c r="M306" s="50"/>
      <x:c r="N306" s="50"/>
      <x:c r="O306" s="50"/>
    </x:row>
    <x:row r="307">
      <x:c r="A307" s="50"/>
      <x:c r="B307" s="64"/>
      <x:c r="C307" s="50"/>
      <x:c r="D307" s="50"/>
      <x:c r="E307" s="50" t="str">
        <x:f>IFERROR(VLOOKUP(D307,Inventory!$B:$C,2,FALSE),"")</x:f>
      </x:c>
      <x:c r="F307" s="65"/>
      <x:c r="G307" s="66"/>
      <x:c r="H307" s="66" t="n">
        <x:f>F307*G307</x:f>
        <x:v>0</x:v>
      </x:c>
      <x:c r="I307" s="50"/>
      <x:c r="J307" s="50"/>
      <x:c r="K307" s="50"/>
      <x:c r="L307" s="50"/>
      <x:c r="M307" s="50"/>
      <x:c r="N307" s="50"/>
      <x:c r="O307" s="50"/>
    </x:row>
    <x:row r="308">
      <x:c r="A308" s="50"/>
      <x:c r="B308" s="64"/>
      <x:c r="C308" s="50"/>
      <x:c r="D308" s="50"/>
      <x:c r="E308" s="50" t="str">
        <x:f>IFERROR(VLOOKUP(D308,Inventory!$B:$C,2,FALSE),"")</x:f>
      </x:c>
      <x:c r="F308" s="65"/>
      <x:c r="G308" s="66"/>
      <x:c r="H308" s="66" t="n">
        <x:f>F308*G308</x:f>
        <x:v>0</x:v>
      </x:c>
      <x:c r="I308" s="50"/>
      <x:c r="J308" s="50"/>
      <x:c r="K308" s="50"/>
      <x:c r="L308" s="50"/>
      <x:c r="M308" s="50"/>
      <x:c r="N308" s="50"/>
      <x:c r="O308" s="50"/>
    </x:row>
    <x:row r="309">
      <x:c r="A309" s="50"/>
      <x:c r="B309" s="64"/>
      <x:c r="C309" s="50"/>
      <x:c r="D309" s="50"/>
      <x:c r="E309" s="50" t="str">
        <x:f>IFERROR(VLOOKUP(D309,Inventory!$B:$C,2,FALSE),"")</x:f>
      </x:c>
      <x:c r="F309" s="65"/>
      <x:c r="G309" s="66"/>
      <x:c r="H309" s="66" t="n">
        <x:f>F309*G309</x:f>
        <x:v>0</x:v>
      </x:c>
      <x:c r="I309" s="50"/>
      <x:c r="J309" s="50"/>
      <x:c r="K309" s="50"/>
      <x:c r="L309" s="50"/>
      <x:c r="M309" s="50"/>
      <x:c r="N309" s="50"/>
      <x:c r="O309" s="50"/>
    </x:row>
    <x:row r="310">
      <x:c r="A310" s="50"/>
      <x:c r="B310" s="64"/>
      <x:c r="C310" s="50"/>
      <x:c r="D310" s="50"/>
      <x:c r="E310" s="50" t="str">
        <x:f>IFERROR(VLOOKUP(D310,Inventory!$B:$C,2,FALSE),"")</x:f>
      </x:c>
      <x:c r="F310" s="65"/>
      <x:c r="G310" s="66"/>
      <x:c r="H310" s="66" t="n">
        <x:f>F310*G310</x:f>
        <x:v>0</x:v>
      </x:c>
      <x:c r="I310" s="50"/>
      <x:c r="J310" s="50"/>
      <x:c r="K310" s="50"/>
      <x:c r="L310" s="50"/>
      <x:c r="M310" s="50"/>
      <x:c r="N310" s="50"/>
      <x:c r="O310" s="50"/>
    </x:row>
    <x:row r="311">
      <x:c r="A311" s="50"/>
      <x:c r="B311" s="64"/>
      <x:c r="C311" s="50"/>
      <x:c r="D311" s="50"/>
      <x:c r="E311" s="50" t="str">
        <x:f>IFERROR(VLOOKUP(D311,Inventory!$B:$C,2,FALSE),"")</x:f>
      </x:c>
      <x:c r="F311" s="65"/>
      <x:c r="G311" s="66"/>
      <x:c r="H311" s="66" t="n">
        <x:f>F311*G311</x:f>
        <x:v>0</x:v>
      </x:c>
      <x:c r="I311" s="50"/>
      <x:c r="J311" s="50"/>
      <x:c r="K311" s="50"/>
      <x:c r="L311" s="50"/>
      <x:c r="M311" s="50"/>
      <x:c r="N311" s="50"/>
      <x:c r="O311" s="50"/>
    </x:row>
    <x:row r="312">
      <x:c r="A312" s="50"/>
      <x:c r="B312" s="64"/>
      <x:c r="C312" s="50"/>
      <x:c r="D312" s="50"/>
      <x:c r="E312" s="50" t="str">
        <x:f>IFERROR(VLOOKUP(D312,Inventory!$B:$C,2,FALSE),"")</x:f>
      </x:c>
      <x:c r="F312" s="65"/>
      <x:c r="G312" s="66"/>
      <x:c r="H312" s="66" t="n">
        <x:f>F312*G312</x:f>
        <x:v>0</x:v>
      </x:c>
      <x:c r="I312" s="50"/>
      <x:c r="J312" s="50"/>
      <x:c r="K312" s="50"/>
      <x:c r="L312" s="50"/>
      <x:c r="M312" s="50"/>
      <x:c r="N312" s="50"/>
      <x:c r="O312" s="50"/>
    </x:row>
    <x:row r="313">
      <x:c r="A313" s="50"/>
      <x:c r="B313" s="64"/>
      <x:c r="C313" s="50"/>
      <x:c r="D313" s="50"/>
      <x:c r="E313" s="50" t="str">
        <x:f>IFERROR(VLOOKUP(D313,Inventory!$B:$C,2,FALSE),"")</x:f>
      </x:c>
      <x:c r="F313" s="65"/>
      <x:c r="G313" s="66"/>
      <x:c r="H313" s="66" t="n">
        <x:f>F313*G313</x:f>
        <x:v>0</x:v>
      </x:c>
      <x:c r="I313" s="50"/>
      <x:c r="J313" s="50"/>
      <x:c r="K313" s="50"/>
      <x:c r="L313" s="50"/>
      <x:c r="M313" s="50"/>
      <x:c r="N313" s="50"/>
      <x:c r="O313" s="50"/>
    </x:row>
    <x:row r="314">
      <x:c r="A314" s="50"/>
      <x:c r="B314" s="64"/>
      <x:c r="C314" s="50"/>
      <x:c r="D314" s="50"/>
      <x:c r="E314" s="50" t="str">
        <x:f>IFERROR(VLOOKUP(D314,Inventory!$B:$C,2,FALSE),"")</x:f>
      </x:c>
      <x:c r="F314" s="65"/>
      <x:c r="G314" s="66"/>
      <x:c r="H314" s="66" t="n">
        <x:f>F314*G314</x:f>
        <x:v>0</x:v>
      </x:c>
      <x:c r="I314" s="50"/>
      <x:c r="J314" s="50"/>
      <x:c r="K314" s="50"/>
      <x:c r="L314" s="50"/>
      <x:c r="M314" s="50"/>
      <x:c r="N314" s="50"/>
      <x:c r="O314" s="50"/>
    </x:row>
    <x:row r="315">
      <x:c r="A315" s="50"/>
      <x:c r="B315" s="64"/>
      <x:c r="C315" s="50"/>
      <x:c r="D315" s="50"/>
      <x:c r="E315" s="50" t="str">
        <x:f>IFERROR(VLOOKUP(D315,Inventory!$B:$C,2,FALSE),"")</x:f>
      </x:c>
      <x:c r="F315" s="65"/>
      <x:c r="G315" s="66"/>
      <x:c r="H315" s="66" t="n">
        <x:f>F315*G315</x:f>
        <x:v>0</x:v>
      </x:c>
      <x:c r="I315" s="50"/>
      <x:c r="J315" s="50"/>
      <x:c r="K315" s="50"/>
      <x:c r="L315" s="50"/>
      <x:c r="M315" s="50"/>
      <x:c r="N315" s="50"/>
      <x:c r="O315" s="50"/>
    </x:row>
    <x:row r="316">
      <x:c r="A316" s="50"/>
      <x:c r="B316" s="64"/>
      <x:c r="C316" s="50"/>
      <x:c r="D316" s="50"/>
      <x:c r="E316" s="50" t="str">
        <x:f>IFERROR(VLOOKUP(D316,Inventory!$B:$C,2,FALSE),"")</x:f>
      </x:c>
      <x:c r="F316" s="65"/>
      <x:c r="G316" s="66"/>
      <x:c r="H316" s="66" t="n">
        <x:f>F316*G316</x:f>
        <x:v>0</x:v>
      </x:c>
      <x:c r="I316" s="50"/>
      <x:c r="J316" s="50"/>
      <x:c r="K316" s="50"/>
      <x:c r="L316" s="50"/>
      <x:c r="M316" s="50"/>
      <x:c r="N316" s="50"/>
      <x:c r="O316" s="50"/>
    </x:row>
    <x:row r="317">
      <x:c r="A317" s="50"/>
      <x:c r="B317" s="64"/>
      <x:c r="C317" s="50"/>
      <x:c r="D317" s="50"/>
      <x:c r="E317" s="50" t="str">
        <x:f>IFERROR(VLOOKUP(D317,Inventory!$B:$C,2,FALSE),"")</x:f>
      </x:c>
      <x:c r="F317" s="65"/>
      <x:c r="G317" s="66"/>
      <x:c r="H317" s="66" t="n">
        <x:f>F317*G317</x:f>
        <x:v>0</x:v>
      </x:c>
      <x:c r="I317" s="50"/>
      <x:c r="J317" s="50"/>
      <x:c r="K317" s="50"/>
      <x:c r="L317" s="50"/>
      <x:c r="M317" s="50"/>
      <x:c r="N317" s="50"/>
      <x:c r="O317" s="50"/>
    </x:row>
    <x:row r="318">
      <x:c r="A318" s="50"/>
      <x:c r="B318" s="64"/>
      <x:c r="C318" s="50"/>
      <x:c r="D318" s="50"/>
      <x:c r="E318" s="50" t="str">
        <x:f>IFERROR(VLOOKUP(D318,Inventory!$B:$C,2,FALSE),"")</x:f>
      </x:c>
      <x:c r="F318" s="65"/>
      <x:c r="G318" s="66"/>
      <x:c r="H318" s="66" t="n">
        <x:f>F318*G318</x:f>
        <x:v>0</x:v>
      </x:c>
      <x:c r="I318" s="50"/>
      <x:c r="J318" s="50"/>
      <x:c r="K318" s="50"/>
      <x:c r="L318" s="50"/>
      <x:c r="M318" s="50"/>
      <x:c r="N318" s="50"/>
      <x:c r="O318" s="50"/>
    </x:row>
    <x:row r="319">
      <x:c r="A319" s="50"/>
      <x:c r="B319" s="64"/>
      <x:c r="C319" s="50"/>
      <x:c r="D319" s="50"/>
      <x:c r="E319" s="50" t="str">
        <x:f>IFERROR(VLOOKUP(D319,Inventory!$B:$C,2,FALSE),"")</x:f>
      </x:c>
      <x:c r="F319" s="65"/>
      <x:c r="G319" s="66"/>
      <x:c r="H319" s="66" t="n">
        <x:f>F319*G319</x:f>
        <x:v>0</x:v>
      </x:c>
      <x:c r="I319" s="50"/>
      <x:c r="J319" s="50"/>
      <x:c r="K319" s="50"/>
      <x:c r="L319" s="50"/>
      <x:c r="M319" s="50"/>
      <x:c r="N319" s="50"/>
      <x:c r="O319" s="50"/>
    </x:row>
    <x:row r="320">
      <x:c r="A320" s="50"/>
      <x:c r="B320" s="64"/>
      <x:c r="C320" s="50"/>
      <x:c r="D320" s="50"/>
      <x:c r="E320" s="50" t="str">
        <x:f>IFERROR(VLOOKUP(D320,Inventory!$B:$C,2,FALSE),"")</x:f>
      </x:c>
      <x:c r="F320" s="65"/>
      <x:c r="G320" s="66"/>
      <x:c r="H320" s="66" t="n">
        <x:f>F320*G320</x:f>
        <x:v>0</x:v>
      </x:c>
      <x:c r="I320" s="50"/>
      <x:c r="J320" s="50"/>
      <x:c r="K320" s="50"/>
      <x:c r="L320" s="50"/>
      <x:c r="M320" s="50"/>
      <x:c r="N320" s="50"/>
      <x:c r="O320" s="50"/>
    </x:row>
    <x:row r="321">
      <x:c r="A321" s="50"/>
      <x:c r="B321" s="64"/>
      <x:c r="C321" s="50"/>
      <x:c r="D321" s="50"/>
      <x:c r="E321" s="50" t="str">
        <x:f>IFERROR(VLOOKUP(D321,Inventory!$B:$C,2,FALSE),"")</x:f>
      </x:c>
      <x:c r="F321" s="65"/>
      <x:c r="G321" s="66"/>
      <x:c r="H321" s="66" t="n">
        <x:f>F321*G321</x:f>
        <x:v>0</x:v>
      </x:c>
      <x:c r="I321" s="50"/>
      <x:c r="J321" s="50"/>
      <x:c r="K321" s="50"/>
      <x:c r="L321" s="50"/>
      <x:c r="M321" s="50"/>
      <x:c r="N321" s="50"/>
      <x:c r="O321" s="50"/>
    </x:row>
    <x:row r="322">
      <x:c r="A322" s="50"/>
      <x:c r="B322" s="64"/>
      <x:c r="C322" s="50"/>
      <x:c r="D322" s="50"/>
      <x:c r="E322" s="50" t="str">
        <x:f>IFERROR(VLOOKUP(D322,Inventory!$B:$C,2,FALSE),"")</x:f>
      </x:c>
      <x:c r="F322" s="65"/>
      <x:c r="G322" s="66"/>
      <x:c r="H322" s="66" t="n">
        <x:f>F322*G322</x:f>
        <x:v>0</x:v>
      </x:c>
      <x:c r="I322" s="50"/>
      <x:c r="J322" s="50"/>
      <x:c r="K322" s="50"/>
      <x:c r="L322" s="50"/>
      <x:c r="M322" s="50"/>
      <x:c r="N322" s="50"/>
      <x:c r="O322" s="50"/>
    </x:row>
    <x:row r="323">
      <x:c r="A323" s="50"/>
      <x:c r="B323" s="64"/>
      <x:c r="C323" s="50"/>
      <x:c r="D323" s="50"/>
      <x:c r="E323" s="50" t="str">
        <x:f>IFERROR(VLOOKUP(D323,Inventory!$B:$C,2,FALSE),"")</x:f>
      </x:c>
      <x:c r="F323" s="65"/>
      <x:c r="G323" s="66"/>
      <x:c r="H323" s="66" t="n">
        <x:f>F323*G323</x:f>
        <x:v>0</x:v>
      </x:c>
      <x:c r="I323" s="50"/>
      <x:c r="J323" s="50"/>
      <x:c r="K323" s="50"/>
      <x:c r="L323" s="50"/>
      <x:c r="M323" s="50"/>
      <x:c r="N323" s="50"/>
      <x:c r="O323" s="50"/>
    </x:row>
    <x:row r="324">
      <x:c r="A324" s="50"/>
      <x:c r="B324" s="64"/>
      <x:c r="C324" s="50"/>
      <x:c r="D324" s="50"/>
      <x:c r="E324" s="50" t="str">
        <x:f>IFERROR(VLOOKUP(D324,Inventory!$B:$C,2,FALSE),"")</x:f>
      </x:c>
      <x:c r="F324" s="65"/>
      <x:c r="G324" s="66"/>
      <x:c r="H324" s="66" t="n">
        <x:f>F324*G324</x:f>
        <x:v>0</x:v>
      </x:c>
      <x:c r="I324" s="50"/>
      <x:c r="J324" s="50"/>
      <x:c r="K324" s="50"/>
      <x:c r="L324" s="50"/>
      <x:c r="M324" s="50"/>
      <x:c r="N324" s="50"/>
      <x:c r="O324" s="50"/>
    </x:row>
    <x:row r="325">
      <x:c r="A325" s="50"/>
      <x:c r="B325" s="64"/>
      <x:c r="C325" s="50"/>
      <x:c r="D325" s="50"/>
      <x:c r="E325" s="50" t="str">
        <x:f>IFERROR(VLOOKUP(D325,Inventory!$B:$C,2,FALSE),"")</x:f>
      </x:c>
      <x:c r="F325" s="65"/>
      <x:c r="G325" s="66"/>
      <x:c r="H325" s="66" t="n">
        <x:f>F325*G325</x:f>
        <x:v>0</x:v>
      </x:c>
      <x:c r="I325" s="50"/>
      <x:c r="J325" s="50"/>
      <x:c r="K325" s="50"/>
      <x:c r="L325" s="50"/>
      <x:c r="M325" s="50"/>
      <x:c r="N325" s="50"/>
      <x:c r="O325" s="50"/>
    </x:row>
    <x:row r="326">
      <x:c r="A326" s="50"/>
      <x:c r="B326" s="64"/>
      <x:c r="C326" s="50"/>
      <x:c r="D326" s="50"/>
      <x:c r="E326" s="50" t="str">
        <x:f>IFERROR(VLOOKUP(D326,Inventory!$B:$C,2,FALSE),"")</x:f>
      </x:c>
      <x:c r="F326" s="65"/>
      <x:c r="G326" s="66"/>
      <x:c r="H326" s="66" t="n">
        <x:f>F326*G326</x:f>
        <x:v>0</x:v>
      </x:c>
      <x:c r="I326" s="50"/>
      <x:c r="J326" s="50"/>
      <x:c r="K326" s="50"/>
      <x:c r="L326" s="50"/>
      <x:c r="M326" s="50"/>
      <x:c r="N326" s="50"/>
      <x:c r="O326" s="50"/>
    </x:row>
    <x:row r="327">
      <x:c r="A327" s="50"/>
      <x:c r="B327" s="64"/>
      <x:c r="C327" s="50"/>
      <x:c r="D327" s="50"/>
      <x:c r="E327" s="50" t="str">
        <x:f>IFERROR(VLOOKUP(D327,Inventory!$B:$C,2,FALSE),"")</x:f>
      </x:c>
      <x:c r="F327" s="65"/>
      <x:c r="G327" s="66"/>
      <x:c r="H327" s="66" t="n">
        <x:f>F327*G327</x:f>
        <x:v>0</x:v>
      </x:c>
      <x:c r="I327" s="50"/>
      <x:c r="J327" s="50"/>
      <x:c r="K327" s="50"/>
      <x:c r="L327" s="50"/>
      <x:c r="M327" s="50"/>
      <x:c r="N327" s="50"/>
      <x:c r="O327" s="50"/>
    </x:row>
    <x:row r="328">
      <x:c r="A328" s="50"/>
      <x:c r="B328" s="64"/>
      <x:c r="C328" s="50"/>
      <x:c r="D328" s="50"/>
      <x:c r="E328" s="50" t="str">
        <x:f>IFERROR(VLOOKUP(D328,Inventory!$B:$C,2,FALSE),"")</x:f>
      </x:c>
      <x:c r="F328" s="65"/>
      <x:c r="G328" s="66"/>
      <x:c r="H328" s="66" t="n">
        <x:f>F328*G328</x:f>
        <x:v>0</x:v>
      </x:c>
      <x:c r="I328" s="50"/>
      <x:c r="J328" s="50"/>
      <x:c r="K328" s="50"/>
      <x:c r="L328" s="50"/>
      <x:c r="M328" s="50"/>
      <x:c r="N328" s="50"/>
      <x:c r="O328" s="50"/>
    </x:row>
    <x:row r="329">
      <x:c r="A329" s="50"/>
      <x:c r="B329" s="64"/>
      <x:c r="C329" s="50"/>
      <x:c r="D329" s="50"/>
      <x:c r="E329" s="50" t="str">
        <x:f>IFERROR(VLOOKUP(D329,Inventory!$B:$C,2,FALSE),"")</x:f>
      </x:c>
      <x:c r="F329" s="65"/>
      <x:c r="G329" s="66"/>
      <x:c r="H329" s="66" t="n">
        <x:f>F329*G329</x:f>
        <x:v>0</x:v>
      </x:c>
      <x:c r="I329" s="50"/>
      <x:c r="J329" s="50"/>
      <x:c r="K329" s="50"/>
      <x:c r="L329" s="50"/>
      <x:c r="M329" s="50"/>
      <x:c r="N329" s="50"/>
      <x:c r="O329" s="50"/>
    </x:row>
    <x:row r="330">
      <x:c r="A330" s="50"/>
      <x:c r="B330" s="64"/>
      <x:c r="C330" s="50"/>
      <x:c r="D330" s="50"/>
      <x:c r="E330" s="50" t="str">
        <x:f>IFERROR(VLOOKUP(D330,Inventory!$B:$C,2,FALSE),"")</x:f>
      </x:c>
      <x:c r="F330" s="65"/>
      <x:c r="G330" s="66"/>
      <x:c r="H330" s="66" t="n">
        <x:f>F330*G330</x:f>
        <x:v>0</x:v>
      </x:c>
      <x:c r="I330" s="50"/>
      <x:c r="J330" s="50"/>
      <x:c r="K330" s="50"/>
      <x:c r="L330" s="50"/>
      <x:c r="M330" s="50"/>
      <x:c r="N330" s="50"/>
      <x:c r="O330" s="50"/>
    </x:row>
    <x:row r="331">
      <x:c r="A331" s="50"/>
      <x:c r="B331" s="64"/>
      <x:c r="C331" s="50"/>
      <x:c r="D331" s="50"/>
      <x:c r="E331" s="50" t="str">
        <x:f>IFERROR(VLOOKUP(D331,Inventory!$B:$C,2,FALSE),"")</x:f>
      </x:c>
      <x:c r="F331" s="65"/>
      <x:c r="G331" s="66"/>
      <x:c r="H331" s="66" t="n">
        <x:f>F331*G331</x:f>
        <x:v>0</x:v>
      </x:c>
      <x:c r="I331" s="50"/>
      <x:c r="J331" s="50"/>
      <x:c r="K331" s="50"/>
      <x:c r="L331" s="50"/>
      <x:c r="M331" s="50"/>
      <x:c r="N331" s="50"/>
      <x:c r="O331" s="50"/>
    </x:row>
    <x:row r="332">
      <x:c r="A332" s="50"/>
      <x:c r="B332" s="64"/>
      <x:c r="C332" s="50"/>
      <x:c r="D332" s="50"/>
      <x:c r="E332" s="50" t="str">
        <x:f>IFERROR(VLOOKUP(D332,Inventory!$B:$C,2,FALSE),"")</x:f>
      </x:c>
      <x:c r="F332" s="65"/>
      <x:c r="G332" s="66"/>
      <x:c r="H332" s="66" t="n">
        <x:f>F332*G332</x:f>
        <x:v>0</x:v>
      </x:c>
      <x:c r="I332" s="50"/>
      <x:c r="J332" s="50"/>
      <x:c r="K332" s="50"/>
      <x:c r="L332" s="50"/>
      <x:c r="M332" s="50"/>
      <x:c r="N332" s="50"/>
      <x:c r="O332" s="50"/>
    </x:row>
    <x:row r="333">
      <x:c r="A333" s="50"/>
      <x:c r="B333" s="64"/>
      <x:c r="C333" s="50"/>
      <x:c r="D333" s="50"/>
      <x:c r="E333" s="50" t="str">
        <x:f>IFERROR(VLOOKUP(D333,Inventory!$B:$C,2,FALSE),"")</x:f>
      </x:c>
      <x:c r="F333" s="65"/>
      <x:c r="G333" s="66"/>
      <x:c r="H333" s="66" t="n">
        <x:f>F333*G333</x:f>
        <x:v>0</x:v>
      </x:c>
      <x:c r="I333" s="50"/>
      <x:c r="J333" s="50"/>
      <x:c r="K333" s="50"/>
      <x:c r="L333" s="50"/>
      <x:c r="M333" s="50"/>
      <x:c r="N333" s="50"/>
      <x:c r="O333" s="50"/>
    </x:row>
    <x:row r="334">
      <x:c r="A334" s="50"/>
      <x:c r="B334" s="64"/>
      <x:c r="C334" s="50"/>
      <x:c r="D334" s="50"/>
      <x:c r="E334" s="50" t="str">
        <x:f>IFERROR(VLOOKUP(D334,Inventory!$B:$C,2,FALSE),"")</x:f>
      </x:c>
      <x:c r="F334" s="65"/>
      <x:c r="G334" s="66"/>
      <x:c r="H334" s="66" t="n">
        <x:f>F334*G334</x:f>
        <x:v>0</x:v>
      </x:c>
      <x:c r="I334" s="50"/>
      <x:c r="J334" s="50"/>
      <x:c r="K334" s="50"/>
      <x:c r="L334" s="50"/>
      <x:c r="M334" s="50"/>
      <x:c r="N334" s="50"/>
      <x:c r="O334" s="50"/>
    </x:row>
    <x:row r="335">
      <x:c r="A335" s="50"/>
      <x:c r="B335" s="64"/>
      <x:c r="C335" s="50"/>
      <x:c r="D335" s="50"/>
      <x:c r="E335" s="50" t="str">
        <x:f>IFERROR(VLOOKUP(D335,Inventory!$B:$C,2,FALSE),"")</x:f>
      </x:c>
      <x:c r="F335" s="65"/>
      <x:c r="G335" s="66"/>
      <x:c r="H335" s="66" t="n">
        <x:f>F335*G335</x:f>
        <x:v>0</x:v>
      </x:c>
      <x:c r="I335" s="50"/>
      <x:c r="J335" s="50"/>
      <x:c r="K335" s="50"/>
      <x:c r="L335" s="50"/>
      <x:c r="M335" s="50"/>
      <x:c r="N335" s="50"/>
      <x:c r="O335" s="50"/>
    </x:row>
    <x:row r="336">
      <x:c r="A336" s="50"/>
      <x:c r="B336" s="64"/>
      <x:c r="C336" s="50"/>
      <x:c r="D336" s="50"/>
      <x:c r="E336" s="50" t="str">
        <x:f>IFERROR(VLOOKUP(D336,Inventory!$B:$C,2,FALSE),"")</x:f>
      </x:c>
      <x:c r="F336" s="65"/>
      <x:c r="G336" s="66"/>
      <x:c r="H336" s="66" t="n">
        <x:f>F336*G336</x:f>
        <x:v>0</x:v>
      </x:c>
      <x:c r="I336" s="50"/>
      <x:c r="J336" s="50"/>
      <x:c r="K336" s="50"/>
      <x:c r="L336" s="50"/>
      <x:c r="M336" s="50"/>
      <x:c r="N336" s="50"/>
      <x:c r="O336" s="50"/>
    </x:row>
    <x:row r="337">
      <x:c r="A337" s="50"/>
      <x:c r="B337" s="64"/>
      <x:c r="C337" s="50"/>
      <x:c r="D337" s="50"/>
      <x:c r="E337" s="50" t="str">
        <x:f>IFERROR(VLOOKUP(D337,Inventory!$B:$C,2,FALSE),"")</x:f>
      </x:c>
      <x:c r="F337" s="65"/>
      <x:c r="G337" s="66"/>
      <x:c r="H337" s="66" t="n">
        <x:f>F337*G337</x:f>
        <x:v>0</x:v>
      </x:c>
      <x:c r="I337" s="50"/>
      <x:c r="J337" s="50"/>
      <x:c r="K337" s="50"/>
      <x:c r="L337" s="50"/>
      <x:c r="M337" s="50"/>
      <x:c r="N337" s="50"/>
      <x:c r="O337" s="50"/>
    </x:row>
    <x:row r="338">
      <x:c r="A338" s="50"/>
      <x:c r="B338" s="64"/>
      <x:c r="C338" s="50"/>
      <x:c r="D338" s="50"/>
      <x:c r="E338" s="50" t="str">
        <x:f>IFERROR(VLOOKUP(D338,Inventory!$B:$C,2,FALSE),"")</x:f>
      </x:c>
      <x:c r="F338" s="65"/>
      <x:c r="G338" s="66"/>
      <x:c r="H338" s="66" t="n">
        <x:f>F338*G338</x:f>
        <x:v>0</x:v>
      </x:c>
      <x:c r="I338" s="50"/>
      <x:c r="J338" s="50"/>
      <x:c r="K338" s="50"/>
      <x:c r="L338" s="50"/>
      <x:c r="M338" s="50"/>
      <x:c r="N338" s="50"/>
      <x:c r="O338" s="50"/>
    </x:row>
    <x:row r="339">
      <x:c r="A339" s="50"/>
      <x:c r="B339" s="64"/>
      <x:c r="C339" s="50"/>
      <x:c r="D339" s="50"/>
      <x:c r="E339" s="50" t="str">
        <x:f>IFERROR(VLOOKUP(D339,Inventory!$B:$C,2,FALSE),"")</x:f>
      </x:c>
      <x:c r="F339" s="65"/>
      <x:c r="G339" s="66"/>
      <x:c r="H339" s="66" t="n">
        <x:f>F339*G339</x:f>
        <x:v>0</x:v>
      </x:c>
      <x:c r="I339" s="50"/>
      <x:c r="J339" s="50"/>
      <x:c r="K339" s="50"/>
      <x:c r="L339" s="50"/>
      <x:c r="M339" s="50"/>
      <x:c r="N339" s="50"/>
      <x:c r="O339" s="50"/>
    </x:row>
    <x:row r="340">
      <x:c r="A340" s="50"/>
      <x:c r="B340" s="64"/>
      <x:c r="C340" s="50"/>
      <x:c r="D340" s="50"/>
      <x:c r="E340" s="50" t="str">
        <x:f>IFERROR(VLOOKUP(D340,Inventory!$B:$C,2,FALSE),"")</x:f>
      </x:c>
      <x:c r="F340" s="65"/>
      <x:c r="G340" s="66"/>
      <x:c r="H340" s="66" t="n">
        <x:f>F340*G340</x:f>
        <x:v>0</x:v>
      </x:c>
      <x:c r="I340" s="50"/>
      <x:c r="J340" s="50"/>
      <x:c r="K340" s="50"/>
      <x:c r="L340" s="50"/>
      <x:c r="M340" s="50"/>
      <x:c r="N340" s="50"/>
      <x:c r="O340" s="50"/>
    </x:row>
    <x:row r="341">
      <x:c r="A341" s="50"/>
      <x:c r="B341" s="64"/>
      <x:c r="C341" s="50"/>
      <x:c r="D341" s="50"/>
      <x:c r="E341" s="50" t="str">
        <x:f>IFERROR(VLOOKUP(D341,Inventory!$B:$C,2,FALSE),"")</x:f>
      </x:c>
      <x:c r="F341" s="65"/>
      <x:c r="G341" s="66"/>
      <x:c r="H341" s="66" t="n">
        <x:f>F341*G341</x:f>
        <x:v>0</x:v>
      </x:c>
      <x:c r="I341" s="50"/>
      <x:c r="J341" s="50"/>
      <x:c r="K341" s="50"/>
      <x:c r="L341" s="50"/>
      <x:c r="M341" s="50"/>
      <x:c r="N341" s="50"/>
      <x:c r="O341" s="50"/>
    </x:row>
    <x:row r="342">
      <x:c r="A342" s="50"/>
      <x:c r="B342" s="64"/>
      <x:c r="C342" s="50"/>
      <x:c r="D342" s="50"/>
      <x:c r="E342" s="50" t="str">
        <x:f>IFERROR(VLOOKUP(D342,Inventory!$B:$C,2,FALSE),"")</x:f>
      </x:c>
      <x:c r="F342" s="65"/>
      <x:c r="G342" s="66"/>
      <x:c r="H342" s="66" t="n">
        <x:f>F342*G342</x:f>
        <x:v>0</x:v>
      </x:c>
      <x:c r="I342" s="50"/>
      <x:c r="J342" s="50"/>
      <x:c r="K342" s="50"/>
      <x:c r="L342" s="50"/>
      <x:c r="M342" s="50"/>
      <x:c r="N342" s="50"/>
      <x:c r="O342" s="50"/>
    </x:row>
    <x:row r="343">
      <x:c r="A343" s="50"/>
      <x:c r="B343" s="64"/>
      <x:c r="C343" s="50"/>
      <x:c r="D343" s="50"/>
      <x:c r="E343" s="50" t="str">
        <x:f>IFERROR(VLOOKUP(D343,Inventory!$B:$C,2,FALSE),"")</x:f>
      </x:c>
      <x:c r="F343" s="65"/>
      <x:c r="G343" s="66"/>
      <x:c r="H343" s="66" t="n">
        <x:f>F343*G343</x:f>
        <x:v>0</x:v>
      </x:c>
      <x:c r="I343" s="50"/>
      <x:c r="J343" s="50"/>
      <x:c r="K343" s="50"/>
      <x:c r="L343" s="50"/>
      <x:c r="M343" s="50"/>
      <x:c r="N343" s="50"/>
      <x:c r="O343" s="50"/>
    </x:row>
    <x:row r="344">
      <x:c r="A344" s="50"/>
      <x:c r="B344" s="64"/>
      <x:c r="C344" s="50"/>
      <x:c r="D344" s="50"/>
      <x:c r="E344" s="50" t="str">
        <x:f>IFERROR(VLOOKUP(D344,Inventory!$B:$C,2,FALSE),"")</x:f>
      </x:c>
      <x:c r="F344" s="65"/>
      <x:c r="G344" s="66"/>
      <x:c r="H344" s="66" t="n">
        <x:f>F344*G344</x:f>
        <x:v>0</x:v>
      </x:c>
      <x:c r="I344" s="50"/>
      <x:c r="J344" s="50"/>
      <x:c r="K344" s="50"/>
      <x:c r="L344" s="50"/>
      <x:c r="M344" s="50"/>
      <x:c r="N344" s="50"/>
      <x:c r="O344" s="50"/>
    </x:row>
    <x:row r="345">
      <x:c r="A345" s="50"/>
      <x:c r="B345" s="64"/>
      <x:c r="C345" s="50"/>
      <x:c r="D345" s="50"/>
      <x:c r="E345" s="50" t="str">
        <x:f>IFERROR(VLOOKUP(D345,Inventory!$B:$C,2,FALSE),"")</x:f>
      </x:c>
      <x:c r="F345" s="65"/>
      <x:c r="G345" s="66"/>
      <x:c r="H345" s="66" t="n">
        <x:f>F345*G345</x:f>
        <x:v>0</x:v>
      </x:c>
      <x:c r="I345" s="50"/>
      <x:c r="J345" s="50"/>
      <x:c r="K345" s="50"/>
      <x:c r="L345" s="50"/>
      <x:c r="M345" s="50"/>
      <x:c r="N345" s="50"/>
      <x:c r="O345" s="50"/>
    </x:row>
    <x:row r="346">
      <x:c r="A346" s="50"/>
      <x:c r="B346" s="64"/>
      <x:c r="C346" s="50"/>
      <x:c r="D346" s="50"/>
      <x:c r="E346" s="50" t="str">
        <x:f>IFERROR(VLOOKUP(D346,Inventory!$B:$C,2,FALSE),"")</x:f>
      </x:c>
      <x:c r="F346" s="65"/>
      <x:c r="G346" s="66"/>
      <x:c r="H346" s="66" t="n">
        <x:f>F346*G346</x:f>
        <x:v>0</x:v>
      </x:c>
      <x:c r="I346" s="50"/>
      <x:c r="J346" s="50"/>
      <x:c r="K346" s="50"/>
      <x:c r="L346" s="50"/>
      <x:c r="M346" s="50"/>
      <x:c r="N346" s="50"/>
      <x:c r="O346" s="50"/>
    </x:row>
    <x:row r="347">
      <x:c r="A347" s="50"/>
      <x:c r="B347" s="64"/>
      <x:c r="C347" s="50"/>
      <x:c r="D347" s="50"/>
      <x:c r="E347" s="50" t="str">
        <x:f>IFERROR(VLOOKUP(D347,Inventory!$B:$C,2,FALSE),"")</x:f>
      </x:c>
      <x:c r="F347" s="65"/>
      <x:c r="G347" s="66"/>
      <x:c r="H347" s="66" t="n">
        <x:f>F347*G347</x:f>
        <x:v>0</x:v>
      </x:c>
      <x:c r="I347" s="50"/>
      <x:c r="J347" s="50"/>
      <x:c r="K347" s="50"/>
      <x:c r="L347" s="50"/>
      <x:c r="M347" s="50"/>
      <x:c r="N347" s="50"/>
      <x:c r="O347" s="50"/>
    </x:row>
    <x:row r="348">
      <x:c r="A348" s="50"/>
      <x:c r="B348" s="64"/>
      <x:c r="C348" s="50"/>
      <x:c r="D348" s="50"/>
      <x:c r="E348" s="50" t="str">
        <x:f>IFERROR(VLOOKUP(D348,Inventory!$B:$C,2,FALSE),"")</x:f>
      </x:c>
      <x:c r="F348" s="65"/>
      <x:c r="G348" s="66"/>
      <x:c r="H348" s="66" t="n">
        <x:f>F348*G348</x:f>
        <x:v>0</x:v>
      </x:c>
      <x:c r="I348" s="50"/>
      <x:c r="J348" s="50"/>
      <x:c r="K348" s="50"/>
      <x:c r="L348" s="50"/>
      <x:c r="M348" s="50"/>
      <x:c r="N348" s="50"/>
      <x:c r="O348" s="50"/>
    </x:row>
    <x:row r="349">
      <x:c r="A349" s="50"/>
      <x:c r="B349" s="64"/>
      <x:c r="C349" s="50"/>
      <x:c r="D349" s="50"/>
      <x:c r="E349" s="50" t="str">
        <x:f>IFERROR(VLOOKUP(D349,Inventory!$B:$C,2,FALSE),"")</x:f>
      </x:c>
      <x:c r="F349" s="65"/>
      <x:c r="G349" s="66"/>
      <x:c r="H349" s="66" t="n">
        <x:f>F349*G349</x:f>
        <x:v>0</x:v>
      </x:c>
      <x:c r="I349" s="50"/>
      <x:c r="J349" s="50"/>
      <x:c r="K349" s="50"/>
      <x:c r="L349" s="50"/>
      <x:c r="M349" s="50"/>
      <x:c r="N349" s="50"/>
      <x:c r="O349" s="50"/>
    </x:row>
    <x:row r="350">
      <x:c r="A350" s="50"/>
      <x:c r="B350" s="64"/>
      <x:c r="C350" s="50"/>
      <x:c r="D350" s="50"/>
      <x:c r="E350" s="50" t="str">
        <x:f>IFERROR(VLOOKUP(D350,Inventory!$B:$C,2,FALSE),"")</x:f>
      </x:c>
      <x:c r="F350" s="65"/>
      <x:c r="G350" s="66"/>
      <x:c r="H350" s="66" t="n">
        <x:f>F350*G350</x:f>
        <x:v>0</x:v>
      </x:c>
      <x:c r="I350" s="50"/>
      <x:c r="J350" s="50"/>
      <x:c r="K350" s="50"/>
      <x:c r="L350" s="50"/>
      <x:c r="M350" s="50"/>
      <x:c r="N350" s="50"/>
      <x:c r="O350" s="50"/>
    </x:row>
    <x:row r="351">
      <x:c r="A351" s="50"/>
      <x:c r="B351" s="64"/>
      <x:c r="C351" s="50"/>
      <x:c r="D351" s="50"/>
      <x:c r="E351" s="50" t="str">
        <x:f>IFERROR(VLOOKUP(D351,Inventory!$B:$C,2,FALSE),"")</x:f>
      </x:c>
      <x:c r="F351" s="65"/>
      <x:c r="G351" s="66"/>
      <x:c r="H351" s="66" t="n">
        <x:f>F351*G351</x:f>
        <x:v>0</x:v>
      </x:c>
      <x:c r="I351" s="50"/>
      <x:c r="J351" s="50"/>
      <x:c r="K351" s="50"/>
      <x:c r="L351" s="50"/>
      <x:c r="M351" s="50"/>
      <x:c r="N351" s="50"/>
      <x:c r="O351" s="50"/>
    </x:row>
    <x:row r="352">
      <x:c r="A352" s="50"/>
      <x:c r="B352" s="64"/>
      <x:c r="C352" s="50"/>
      <x:c r="D352" s="50"/>
      <x:c r="E352" s="50" t="str">
        <x:f>IFERROR(VLOOKUP(D352,Inventory!$B:$C,2,FALSE),"")</x:f>
      </x:c>
      <x:c r="F352" s="65"/>
      <x:c r="G352" s="66"/>
      <x:c r="H352" s="66" t="n">
        <x:f>F352*G352</x:f>
        <x:v>0</x:v>
      </x:c>
      <x:c r="I352" s="50"/>
      <x:c r="J352" s="50"/>
      <x:c r="K352" s="50"/>
      <x:c r="L352" s="50"/>
      <x:c r="M352" s="50"/>
      <x:c r="N352" s="50"/>
      <x:c r="O352" s="50"/>
    </x:row>
    <x:row r="353">
      <x:c r="A353" s="50"/>
      <x:c r="B353" s="64"/>
      <x:c r="C353" s="50"/>
      <x:c r="D353" s="50"/>
      <x:c r="E353" s="50" t="str">
        <x:f>IFERROR(VLOOKUP(D353,Inventory!$B:$C,2,FALSE),"")</x:f>
      </x:c>
      <x:c r="F353" s="65"/>
      <x:c r="G353" s="66"/>
      <x:c r="H353" s="66" t="n">
        <x:f>F353*G353</x:f>
        <x:v>0</x:v>
      </x:c>
      <x:c r="I353" s="50"/>
      <x:c r="J353" s="50"/>
      <x:c r="K353" s="50"/>
      <x:c r="L353" s="50"/>
      <x:c r="M353" s="50"/>
      <x:c r="N353" s="50"/>
      <x:c r="O353" s="50"/>
    </x:row>
    <x:row r="354">
      <x:c r="A354" s="50"/>
      <x:c r="B354" s="64"/>
      <x:c r="C354" s="50"/>
      <x:c r="D354" s="50"/>
      <x:c r="E354" s="50" t="str">
        <x:f>IFERROR(VLOOKUP(D354,Inventory!$B:$C,2,FALSE),"")</x:f>
      </x:c>
      <x:c r="F354" s="65"/>
      <x:c r="G354" s="66"/>
      <x:c r="H354" s="66" t="n">
        <x:f>F354*G354</x:f>
        <x:v>0</x:v>
      </x:c>
      <x:c r="I354" s="50"/>
      <x:c r="J354" s="50"/>
      <x:c r="K354" s="50"/>
      <x:c r="L354" s="50"/>
      <x:c r="M354" s="50"/>
      <x:c r="N354" s="50"/>
      <x:c r="O354" s="50"/>
    </x:row>
    <x:row r="355">
      <x:c r="A355" s="50"/>
      <x:c r="B355" s="64"/>
      <x:c r="C355" s="50"/>
      <x:c r="D355" s="50"/>
      <x:c r="E355" s="50" t="str">
        <x:f>IFERROR(VLOOKUP(D355,Inventory!$B:$C,2,FALSE),"")</x:f>
      </x:c>
      <x:c r="F355" s="65"/>
      <x:c r="G355" s="66"/>
      <x:c r="H355" s="66" t="n">
        <x:f>F355*G355</x:f>
        <x:v>0</x:v>
      </x:c>
      <x:c r="I355" s="50"/>
      <x:c r="J355" s="50"/>
      <x:c r="K355" s="50"/>
      <x:c r="L355" s="50"/>
      <x:c r="M355" s="50"/>
      <x:c r="N355" s="50"/>
      <x:c r="O355" s="50"/>
    </x:row>
    <x:row r="356">
      <x:c r="A356" s="50"/>
      <x:c r="B356" s="64"/>
      <x:c r="C356" s="50"/>
      <x:c r="D356" s="50"/>
      <x:c r="E356" s="50" t="str">
        <x:f>IFERROR(VLOOKUP(D356,Inventory!$B:$C,2,FALSE),"")</x:f>
      </x:c>
      <x:c r="F356" s="65"/>
      <x:c r="G356" s="66"/>
      <x:c r="H356" s="66" t="n">
        <x:f>F356*G356</x:f>
        <x:v>0</x:v>
      </x:c>
      <x:c r="I356" s="50"/>
      <x:c r="J356" s="50"/>
      <x:c r="K356" s="50"/>
      <x:c r="L356" s="50"/>
      <x:c r="M356" s="50"/>
      <x:c r="N356" s="50"/>
      <x:c r="O356" s="50"/>
    </x:row>
    <x:row r="357">
      <x:c r="A357" s="50"/>
      <x:c r="B357" s="64"/>
      <x:c r="C357" s="50"/>
      <x:c r="D357" s="50"/>
      <x:c r="E357" s="50" t="str">
        <x:f>IFERROR(VLOOKUP(D357,Inventory!$B:$C,2,FALSE),"")</x:f>
      </x:c>
      <x:c r="F357" s="65"/>
      <x:c r="G357" s="66"/>
      <x:c r="H357" s="66" t="n">
        <x:f>F357*G357</x:f>
        <x:v>0</x:v>
      </x:c>
      <x:c r="I357" s="50"/>
      <x:c r="J357" s="50"/>
      <x:c r="K357" s="50"/>
      <x:c r="L357" s="50"/>
      <x:c r="M357" s="50"/>
      <x:c r="N357" s="50"/>
      <x:c r="O357" s="50"/>
    </x:row>
    <x:row r="358">
      <x:c r="A358" s="50"/>
      <x:c r="B358" s="64"/>
      <x:c r="C358" s="50"/>
      <x:c r="D358" s="50"/>
      <x:c r="E358" s="50" t="str">
        <x:f>IFERROR(VLOOKUP(D358,Inventory!$B:$C,2,FALSE),"")</x:f>
      </x:c>
      <x:c r="F358" s="65"/>
      <x:c r="G358" s="66"/>
      <x:c r="H358" s="66" t="n">
        <x:f>F358*G358</x:f>
        <x:v>0</x:v>
      </x:c>
      <x:c r="I358" s="50"/>
      <x:c r="J358" s="50"/>
      <x:c r="K358" s="50"/>
      <x:c r="L358" s="50"/>
      <x:c r="M358" s="50"/>
      <x:c r="N358" s="50"/>
      <x:c r="O358" s="50"/>
    </x:row>
    <x:row r="359">
      <x:c r="A359" s="50"/>
      <x:c r="B359" s="64"/>
      <x:c r="C359" s="50"/>
      <x:c r="D359" s="50"/>
      <x:c r="E359" s="50" t="str">
        <x:f>IFERROR(VLOOKUP(D359,Inventory!$B:$C,2,FALSE),"")</x:f>
      </x:c>
      <x:c r="F359" s="65"/>
      <x:c r="G359" s="66"/>
      <x:c r="H359" s="66" t="n">
        <x:f>F359*G359</x:f>
        <x:v>0</x:v>
      </x:c>
      <x:c r="I359" s="50"/>
      <x:c r="J359" s="50"/>
      <x:c r="K359" s="50"/>
      <x:c r="L359" s="50"/>
      <x:c r="M359" s="50"/>
      <x:c r="N359" s="50"/>
      <x:c r="O359" s="50"/>
    </x:row>
    <x:row r="360">
      <x:c r="A360" s="50"/>
      <x:c r="B360" s="64"/>
      <x:c r="C360" s="50"/>
      <x:c r="D360" s="50"/>
      <x:c r="E360" s="50" t="str">
        <x:f>IFERROR(VLOOKUP(D360,Inventory!$B:$C,2,FALSE),"")</x:f>
      </x:c>
      <x:c r="F360" s="65"/>
      <x:c r="G360" s="66"/>
      <x:c r="H360" s="66" t="n">
        <x:f>F360*G360</x:f>
        <x:v>0</x:v>
      </x:c>
      <x:c r="I360" s="50"/>
      <x:c r="J360" s="50"/>
      <x:c r="K360" s="50"/>
      <x:c r="L360" s="50"/>
      <x:c r="M360" s="50"/>
      <x:c r="N360" s="50"/>
      <x:c r="O360" s="50"/>
    </x:row>
    <x:row r="361">
      <x:c r="A361" s="50"/>
      <x:c r="B361" s="64"/>
      <x:c r="C361" s="50"/>
      <x:c r="D361" s="50"/>
      <x:c r="E361" s="50" t="str">
        <x:f>IFERROR(VLOOKUP(D361,Inventory!$B:$C,2,FALSE),"")</x:f>
      </x:c>
      <x:c r="F361" s="65"/>
      <x:c r="G361" s="66"/>
      <x:c r="H361" s="66" t="n">
        <x:f>F361*G361</x:f>
        <x:v>0</x:v>
      </x:c>
      <x:c r="I361" s="50"/>
      <x:c r="J361" s="50"/>
      <x:c r="K361" s="50"/>
      <x:c r="L361" s="50"/>
      <x:c r="M361" s="50"/>
      <x:c r="N361" s="50"/>
      <x:c r="O361" s="50"/>
    </x:row>
    <x:row r="362">
      <x:c r="A362" s="50"/>
      <x:c r="B362" s="64"/>
      <x:c r="C362" s="50"/>
      <x:c r="D362" s="50"/>
      <x:c r="E362" s="50" t="str">
        <x:f>IFERROR(VLOOKUP(D362,Inventory!$B:$C,2,FALSE),"")</x:f>
      </x:c>
      <x:c r="F362" s="65"/>
      <x:c r="G362" s="66"/>
      <x:c r="H362" s="66" t="n">
        <x:f>F362*G362</x:f>
        <x:v>0</x:v>
      </x:c>
      <x:c r="I362" s="50"/>
      <x:c r="J362" s="50"/>
      <x:c r="K362" s="50"/>
      <x:c r="L362" s="50"/>
      <x:c r="M362" s="50"/>
      <x:c r="N362" s="50"/>
      <x:c r="O362" s="50"/>
    </x:row>
    <x:row r="363">
      <x:c r="A363" s="50"/>
      <x:c r="B363" s="64"/>
      <x:c r="C363" s="50"/>
      <x:c r="D363" s="50"/>
      <x:c r="E363" s="50" t="str">
        <x:f>IFERROR(VLOOKUP(D363,Inventory!$B:$C,2,FALSE),"")</x:f>
      </x:c>
      <x:c r="F363" s="65"/>
      <x:c r="G363" s="66"/>
      <x:c r="H363" s="66" t="n">
        <x:f>F363*G363</x:f>
        <x:v>0</x:v>
      </x:c>
      <x:c r="I363" s="50"/>
      <x:c r="J363" s="50"/>
      <x:c r="K363" s="50"/>
      <x:c r="L363" s="50"/>
      <x:c r="M363" s="50"/>
      <x:c r="N363" s="50"/>
      <x:c r="O363" s="50"/>
    </x:row>
    <x:row r="364">
      <x:c r="A364" s="50"/>
      <x:c r="B364" s="64"/>
      <x:c r="C364" s="50"/>
      <x:c r="D364" s="50"/>
      <x:c r="E364" s="50" t="str">
        <x:f>IFERROR(VLOOKUP(D364,Inventory!$B:$C,2,FALSE),"")</x:f>
      </x:c>
      <x:c r="F364" s="65"/>
      <x:c r="G364" s="66"/>
      <x:c r="H364" s="66" t="n">
        <x:f>F364*G364</x:f>
        <x:v>0</x:v>
      </x:c>
      <x:c r="I364" s="50"/>
      <x:c r="J364" s="50"/>
      <x:c r="K364" s="50"/>
      <x:c r="L364" s="50"/>
      <x:c r="M364" s="50"/>
      <x:c r="N364" s="50"/>
      <x:c r="O364" s="50"/>
    </x:row>
    <x:row r="365">
      <x:c r="A365" s="50"/>
      <x:c r="B365" s="64"/>
      <x:c r="C365" s="50"/>
      <x:c r="D365" s="50"/>
      <x:c r="E365" s="50" t="str">
        <x:f>IFERROR(VLOOKUP(D365,Inventory!$B:$C,2,FALSE),"")</x:f>
      </x:c>
      <x:c r="F365" s="65"/>
      <x:c r="G365" s="66"/>
      <x:c r="H365" s="66" t="n">
        <x:f>F365*G365</x:f>
        <x:v>0</x:v>
      </x:c>
      <x:c r="I365" s="50"/>
      <x:c r="J365" s="50"/>
      <x:c r="K365" s="50"/>
      <x:c r="L365" s="50"/>
      <x:c r="M365" s="50"/>
      <x:c r="N365" s="50"/>
      <x:c r="O365" s="50"/>
    </x:row>
    <x:row r="366">
      <x:c r="A366" s="50"/>
      <x:c r="B366" s="64"/>
      <x:c r="C366" s="50"/>
      <x:c r="D366" s="50"/>
      <x:c r="E366" s="50" t="str">
        <x:f>IFERROR(VLOOKUP(D366,Inventory!$B:$C,2,FALSE),"")</x:f>
      </x:c>
      <x:c r="F366" s="65"/>
      <x:c r="G366" s="66"/>
      <x:c r="H366" s="66" t="n">
        <x:f>F366*G366</x:f>
        <x:v>0</x:v>
      </x:c>
      <x:c r="I366" s="50"/>
      <x:c r="J366" s="50"/>
      <x:c r="K366" s="50"/>
      <x:c r="L366" s="50"/>
      <x:c r="M366" s="50"/>
      <x:c r="N366" s="50"/>
      <x:c r="O366" s="50"/>
    </x:row>
    <x:row r="367">
      <x:c r="A367" s="50"/>
      <x:c r="B367" s="64"/>
      <x:c r="C367" s="50"/>
      <x:c r="D367" s="50"/>
      <x:c r="E367" s="50" t="str">
        <x:f>IFERROR(VLOOKUP(D367,Inventory!$B:$C,2,FALSE),"")</x:f>
      </x:c>
      <x:c r="F367" s="65"/>
      <x:c r="G367" s="66"/>
      <x:c r="H367" s="66" t="n">
        <x:f>F367*G367</x:f>
        <x:v>0</x:v>
      </x:c>
      <x:c r="I367" s="50"/>
      <x:c r="J367" s="50"/>
      <x:c r="K367" s="50"/>
      <x:c r="L367" s="50"/>
      <x:c r="M367" s="50"/>
      <x:c r="N367" s="50"/>
      <x:c r="O367" s="50"/>
    </x:row>
    <x:row r="368">
      <x:c r="A368" s="50"/>
      <x:c r="B368" s="64"/>
      <x:c r="C368" s="50"/>
      <x:c r="D368" s="50"/>
      <x:c r="E368" s="50" t="str">
        <x:f>IFERROR(VLOOKUP(D368,Inventory!$B:$C,2,FALSE),"")</x:f>
      </x:c>
      <x:c r="F368" s="65"/>
      <x:c r="G368" s="66"/>
      <x:c r="H368" s="66" t="n">
        <x:f>F368*G368</x:f>
        <x:v>0</x:v>
      </x:c>
      <x:c r="I368" s="50"/>
      <x:c r="J368" s="50"/>
      <x:c r="K368" s="50"/>
      <x:c r="L368" s="50"/>
      <x:c r="M368" s="50"/>
      <x:c r="N368" s="50"/>
      <x:c r="O368" s="50"/>
    </x:row>
    <x:row r="369">
      <x:c r="A369" s="50"/>
      <x:c r="B369" s="64"/>
      <x:c r="C369" s="50"/>
      <x:c r="D369" s="50"/>
      <x:c r="E369" s="50" t="str">
        <x:f>IFERROR(VLOOKUP(D369,Inventory!$B:$C,2,FALSE),"")</x:f>
      </x:c>
      <x:c r="F369" s="65"/>
      <x:c r="G369" s="66"/>
      <x:c r="H369" s="66" t="n">
        <x:f>F369*G369</x:f>
        <x:v>0</x:v>
      </x:c>
      <x:c r="I369" s="50"/>
      <x:c r="J369" s="50"/>
      <x:c r="K369" s="50"/>
      <x:c r="L369" s="50"/>
      <x:c r="M369" s="50"/>
      <x:c r="N369" s="50"/>
      <x:c r="O369" s="50"/>
    </x:row>
    <x:row r="370">
      <x:c r="A370" s="50"/>
      <x:c r="B370" s="64"/>
      <x:c r="C370" s="50"/>
      <x:c r="D370" s="50"/>
      <x:c r="E370" s="50" t="str">
        <x:f>IFERROR(VLOOKUP(D370,Inventory!$B:$C,2,FALSE),"")</x:f>
      </x:c>
      <x:c r="F370" s="65"/>
      <x:c r="G370" s="66"/>
      <x:c r="H370" s="66" t="n">
        <x:f>F370*G370</x:f>
        <x:v>0</x:v>
      </x:c>
      <x:c r="I370" s="50"/>
      <x:c r="J370" s="50"/>
      <x:c r="K370" s="50"/>
      <x:c r="L370" s="50"/>
      <x:c r="M370" s="50"/>
      <x:c r="N370" s="50"/>
      <x:c r="O370" s="50"/>
    </x:row>
    <x:row r="371">
      <x:c r="A371" s="50"/>
      <x:c r="B371" s="64"/>
      <x:c r="C371" s="50"/>
      <x:c r="D371" s="50"/>
      <x:c r="E371" s="50" t="str">
        <x:f>IFERROR(VLOOKUP(D371,Inventory!$B:$C,2,FALSE),"")</x:f>
      </x:c>
      <x:c r="F371" s="65"/>
      <x:c r="G371" s="66"/>
      <x:c r="H371" s="66" t="n">
        <x:f>F371*G371</x:f>
        <x:v>0</x:v>
      </x:c>
      <x:c r="I371" s="50"/>
      <x:c r="J371" s="50"/>
      <x:c r="K371" s="50"/>
      <x:c r="L371" s="50"/>
      <x:c r="M371" s="50"/>
      <x:c r="N371" s="50"/>
      <x:c r="O371" s="50"/>
    </x:row>
    <x:row r="372">
      <x:c r="A372" s="50"/>
      <x:c r="B372" s="64"/>
      <x:c r="C372" s="50"/>
      <x:c r="D372" s="50"/>
      <x:c r="E372" s="50" t="str">
        <x:f>IFERROR(VLOOKUP(D372,Inventory!$B:$C,2,FALSE),"")</x:f>
      </x:c>
      <x:c r="F372" s="65"/>
      <x:c r="G372" s="66"/>
      <x:c r="H372" s="66" t="n">
        <x:f>F372*G372</x:f>
        <x:v>0</x:v>
      </x:c>
      <x:c r="I372" s="50"/>
      <x:c r="J372" s="50"/>
      <x:c r="K372" s="50"/>
      <x:c r="L372" s="50"/>
      <x:c r="M372" s="50"/>
      <x:c r="N372" s="50"/>
      <x:c r="O372" s="50"/>
    </x:row>
    <x:row r="373">
      <x:c r="A373" s="50"/>
      <x:c r="B373" s="64"/>
      <x:c r="C373" s="50"/>
      <x:c r="D373" s="50"/>
      <x:c r="E373" s="50" t="str">
        <x:f>IFERROR(VLOOKUP(D373,Inventory!$B:$C,2,FALSE),"")</x:f>
      </x:c>
      <x:c r="F373" s="65"/>
      <x:c r="G373" s="66"/>
      <x:c r="H373" s="66" t="n">
        <x:f>F373*G373</x:f>
        <x:v>0</x:v>
      </x:c>
      <x:c r="I373" s="50"/>
      <x:c r="J373" s="50"/>
      <x:c r="K373" s="50"/>
      <x:c r="L373" s="50"/>
      <x:c r="M373" s="50"/>
      <x:c r="N373" s="50"/>
      <x:c r="O373" s="50"/>
    </x:row>
    <x:row r="374">
      <x:c r="A374" s="50"/>
      <x:c r="B374" s="64"/>
      <x:c r="C374" s="50"/>
      <x:c r="D374" s="50"/>
      <x:c r="E374" s="50" t="str">
        <x:f>IFERROR(VLOOKUP(D374,Inventory!$B:$C,2,FALSE),"")</x:f>
      </x:c>
      <x:c r="F374" s="65"/>
      <x:c r="G374" s="66"/>
      <x:c r="H374" s="66" t="n">
        <x:f>F374*G374</x:f>
        <x:v>0</x:v>
      </x:c>
      <x:c r="I374" s="50"/>
      <x:c r="J374" s="50"/>
      <x:c r="K374" s="50"/>
      <x:c r="L374" s="50"/>
      <x:c r="M374" s="50"/>
      <x:c r="N374" s="50"/>
      <x:c r="O374" s="50"/>
    </x:row>
    <x:row r="375">
      <x:c r="A375" s="50"/>
      <x:c r="B375" s="64"/>
      <x:c r="C375" s="50"/>
      <x:c r="D375" s="50"/>
      <x:c r="E375" s="50" t="str">
        <x:f>IFERROR(VLOOKUP(D375,Inventory!$B:$C,2,FALSE),"")</x:f>
      </x:c>
      <x:c r="F375" s="65"/>
      <x:c r="G375" s="66"/>
      <x:c r="H375" s="66" t="n">
        <x:f>F375*G375</x:f>
        <x:v>0</x:v>
      </x:c>
      <x:c r="I375" s="50"/>
      <x:c r="J375" s="50"/>
      <x:c r="K375" s="50"/>
      <x:c r="L375" s="50"/>
      <x:c r="M375" s="50"/>
      <x:c r="N375" s="50"/>
      <x:c r="O375" s="50"/>
    </x:row>
    <x:row r="376">
      <x:c r="A376" s="50"/>
      <x:c r="B376" s="64"/>
      <x:c r="C376" s="50"/>
      <x:c r="D376" s="50"/>
      <x:c r="E376" s="50" t="str">
        <x:f>IFERROR(VLOOKUP(D376,Inventory!$B:$C,2,FALSE),"")</x:f>
      </x:c>
      <x:c r="F376" s="65"/>
      <x:c r="G376" s="66"/>
      <x:c r="H376" s="66" t="n">
        <x:f>F376*G376</x:f>
        <x:v>0</x:v>
      </x:c>
      <x:c r="I376" s="50"/>
      <x:c r="J376" s="50"/>
      <x:c r="K376" s="50"/>
      <x:c r="L376" s="50"/>
      <x:c r="M376" s="50"/>
      <x:c r="N376" s="50"/>
      <x:c r="O376" s="50"/>
    </x:row>
    <x:row r="377">
      <x:c r="A377" s="50"/>
      <x:c r="B377" s="64"/>
      <x:c r="C377" s="50"/>
      <x:c r="D377" s="50"/>
      <x:c r="E377" s="50" t="str">
        <x:f>IFERROR(VLOOKUP(D377,Inventory!$B:$C,2,FALSE),"")</x:f>
      </x:c>
      <x:c r="F377" s="65"/>
      <x:c r="G377" s="66"/>
      <x:c r="H377" s="66" t="n">
        <x:f>F377*G377</x:f>
        <x:v>0</x:v>
      </x:c>
      <x:c r="I377" s="50"/>
      <x:c r="J377" s="50"/>
      <x:c r="K377" s="50"/>
      <x:c r="L377" s="50"/>
      <x:c r="M377" s="50"/>
      <x:c r="N377" s="50"/>
      <x:c r="O377" s="50"/>
    </x:row>
    <x:row r="378">
      <x:c r="A378" s="50"/>
      <x:c r="B378" s="64"/>
      <x:c r="C378" s="50"/>
      <x:c r="D378" s="50"/>
      <x:c r="E378" s="50" t="str">
        <x:f>IFERROR(VLOOKUP(D378,Inventory!$B:$C,2,FALSE),"")</x:f>
      </x:c>
      <x:c r="F378" s="65"/>
      <x:c r="G378" s="66"/>
      <x:c r="H378" s="66" t="n">
        <x:f>F378*G378</x:f>
        <x:v>0</x:v>
      </x:c>
      <x:c r="I378" s="50"/>
      <x:c r="J378" s="50"/>
      <x:c r="K378" s="50"/>
      <x:c r="L378" s="50"/>
      <x:c r="M378" s="50"/>
      <x:c r="N378" s="50"/>
      <x:c r="O378" s="50"/>
    </x:row>
    <x:row r="379">
      <x:c r="A379" s="50"/>
      <x:c r="B379" s="64"/>
      <x:c r="C379" s="50"/>
      <x:c r="D379" s="50"/>
      <x:c r="E379" s="50" t="str">
        <x:f>IFERROR(VLOOKUP(D379,Inventory!$B:$C,2,FALSE),"")</x:f>
      </x:c>
      <x:c r="F379" s="65"/>
      <x:c r="G379" s="66"/>
      <x:c r="H379" s="66" t="n">
        <x:f>F379*G379</x:f>
        <x:v>0</x:v>
      </x:c>
      <x:c r="I379" s="50"/>
      <x:c r="J379" s="50"/>
      <x:c r="K379" s="50"/>
      <x:c r="L379" s="50"/>
      <x:c r="M379" s="50"/>
      <x:c r="N379" s="50"/>
      <x:c r="O379" s="50"/>
    </x:row>
    <x:row r="380">
      <x:c r="A380" s="50"/>
      <x:c r="B380" s="64"/>
      <x:c r="C380" s="50"/>
      <x:c r="D380" s="50"/>
      <x:c r="E380" s="50" t="str">
        <x:f>IFERROR(VLOOKUP(D380,Inventory!$B:$C,2,FALSE),"")</x:f>
      </x:c>
      <x:c r="F380" s="65"/>
      <x:c r="G380" s="66"/>
      <x:c r="H380" s="66" t="n">
        <x:f>F380*G380</x:f>
        <x:v>0</x:v>
      </x:c>
      <x:c r="I380" s="50"/>
      <x:c r="J380" s="50"/>
      <x:c r="K380" s="50"/>
      <x:c r="L380" s="50"/>
      <x:c r="M380" s="50"/>
      <x:c r="N380" s="50"/>
      <x:c r="O380" s="50"/>
    </x:row>
    <x:row r="381">
      <x:c r="A381" s="50"/>
      <x:c r="B381" s="64"/>
      <x:c r="C381" s="50"/>
      <x:c r="D381" s="50"/>
      <x:c r="E381" s="50" t="str">
        <x:f>IFERROR(VLOOKUP(D381,Inventory!$B:$C,2,FALSE),"")</x:f>
      </x:c>
      <x:c r="F381" s="65"/>
      <x:c r="G381" s="66"/>
      <x:c r="H381" s="66" t="n">
        <x:f>F381*G381</x:f>
        <x:v>0</x:v>
      </x:c>
      <x:c r="I381" s="50"/>
      <x:c r="J381" s="50"/>
      <x:c r="K381" s="50"/>
      <x:c r="L381" s="50"/>
      <x:c r="M381" s="50"/>
      <x:c r="N381" s="50"/>
      <x:c r="O381" s="50"/>
    </x:row>
    <x:row r="382">
      <x:c r="A382" s="50"/>
      <x:c r="B382" s="64"/>
      <x:c r="C382" s="50"/>
      <x:c r="D382" s="50"/>
      <x:c r="E382" s="50" t="str">
        <x:f>IFERROR(VLOOKUP(D382,Inventory!$B:$C,2,FALSE),"")</x:f>
      </x:c>
      <x:c r="F382" s="65"/>
      <x:c r="G382" s="66"/>
      <x:c r="H382" s="66" t="n">
        <x:f>F382*G382</x:f>
        <x:v>0</x:v>
      </x:c>
      <x:c r="I382" s="50"/>
      <x:c r="J382" s="50"/>
      <x:c r="K382" s="50"/>
      <x:c r="L382" s="50"/>
      <x:c r="M382" s="50"/>
      <x:c r="N382" s="50"/>
      <x:c r="O382" s="50"/>
    </x:row>
    <x:row r="383">
      <x:c r="A383" s="50"/>
      <x:c r="B383" s="64"/>
      <x:c r="C383" s="50"/>
      <x:c r="D383" s="50"/>
      <x:c r="E383" s="50" t="str">
        <x:f>IFERROR(VLOOKUP(D383,Inventory!$B:$C,2,FALSE),"")</x:f>
      </x:c>
      <x:c r="F383" s="65"/>
      <x:c r="G383" s="66"/>
      <x:c r="H383" s="66" t="n">
        <x:f>F383*G383</x:f>
        <x:v>0</x:v>
      </x:c>
      <x:c r="I383" s="50"/>
      <x:c r="J383" s="50"/>
      <x:c r="K383" s="50"/>
      <x:c r="L383" s="50"/>
      <x:c r="M383" s="50"/>
      <x:c r="N383" s="50"/>
      <x:c r="O383" s="50"/>
    </x:row>
    <x:row r="384">
      <x:c r="A384" s="50"/>
      <x:c r="B384" s="64"/>
      <x:c r="C384" s="50"/>
      <x:c r="D384" s="50"/>
      <x:c r="E384" s="50" t="str">
        <x:f>IFERROR(VLOOKUP(D384,Inventory!$B:$C,2,FALSE),"")</x:f>
      </x:c>
      <x:c r="F384" s="65"/>
      <x:c r="G384" s="66"/>
      <x:c r="H384" s="66" t="n">
        <x:f>F384*G384</x:f>
        <x:v>0</x:v>
      </x:c>
      <x:c r="I384" s="50"/>
      <x:c r="J384" s="50"/>
      <x:c r="K384" s="50"/>
      <x:c r="L384" s="50"/>
      <x:c r="M384" s="50"/>
      <x:c r="N384" s="50"/>
      <x:c r="O384" s="50"/>
    </x:row>
    <x:row r="385">
      <x:c r="A385" s="50"/>
      <x:c r="B385" s="64"/>
      <x:c r="C385" s="50"/>
      <x:c r="D385" s="50"/>
      <x:c r="E385" s="50" t="str">
        <x:f>IFERROR(VLOOKUP(D385,Inventory!$B:$C,2,FALSE),"")</x:f>
      </x:c>
      <x:c r="F385" s="65"/>
      <x:c r="G385" s="66"/>
      <x:c r="H385" s="66" t="n">
        <x:f>F385*G385</x:f>
        <x:v>0</x:v>
      </x:c>
      <x:c r="I385" s="50"/>
      <x:c r="J385" s="50"/>
      <x:c r="K385" s="50"/>
      <x:c r="L385" s="50"/>
      <x:c r="M385" s="50"/>
      <x:c r="N385" s="50"/>
      <x:c r="O385" s="50"/>
    </x:row>
    <x:row r="386">
      <x:c r="A386" s="50"/>
      <x:c r="B386" s="64"/>
      <x:c r="C386" s="50"/>
      <x:c r="D386" s="50"/>
      <x:c r="E386" s="50" t="str">
        <x:f>IFERROR(VLOOKUP(D386,Inventory!$B:$C,2,FALSE),"")</x:f>
      </x:c>
      <x:c r="F386" s="65"/>
      <x:c r="G386" s="66"/>
      <x:c r="H386" s="66" t="n">
        <x:f>F386*G386</x:f>
        <x:v>0</x:v>
      </x:c>
      <x:c r="I386" s="50"/>
      <x:c r="J386" s="50"/>
      <x:c r="K386" s="50"/>
      <x:c r="L386" s="50"/>
      <x:c r="M386" s="50"/>
      <x:c r="N386" s="50"/>
      <x:c r="O386" s="50"/>
    </x:row>
    <x:row r="387">
      <x:c r="A387" s="50"/>
      <x:c r="B387" s="64"/>
      <x:c r="C387" s="50"/>
      <x:c r="D387" s="50"/>
      <x:c r="E387" s="50" t="str">
        <x:f>IFERROR(VLOOKUP(D387,Inventory!$B:$C,2,FALSE),"")</x:f>
      </x:c>
      <x:c r="F387" s="65"/>
      <x:c r="G387" s="66"/>
      <x:c r="H387" s="66" t="n">
        <x:f>F387*G387</x:f>
        <x:v>0</x:v>
      </x:c>
      <x:c r="I387" s="50"/>
      <x:c r="J387" s="50"/>
      <x:c r="K387" s="50"/>
      <x:c r="L387" s="50"/>
      <x:c r="M387" s="50"/>
      <x:c r="N387" s="50"/>
      <x:c r="O387" s="50"/>
    </x:row>
    <x:row r="388">
      <x:c r="A388" s="50"/>
      <x:c r="B388" s="64"/>
      <x:c r="C388" s="50"/>
      <x:c r="D388" s="50"/>
      <x:c r="E388" s="50" t="str">
        <x:f>IFERROR(VLOOKUP(D388,Inventory!$B:$C,2,FALSE),"")</x:f>
      </x:c>
      <x:c r="F388" s="65"/>
      <x:c r="G388" s="66"/>
      <x:c r="H388" s="66" t="n">
        <x:f>F388*G388</x:f>
        <x:v>0</x:v>
      </x:c>
      <x:c r="I388" s="50"/>
      <x:c r="J388" s="50"/>
      <x:c r="K388" s="50"/>
      <x:c r="L388" s="50"/>
      <x:c r="M388" s="50"/>
      <x:c r="N388" s="50"/>
      <x:c r="O388" s="50"/>
    </x:row>
    <x:row r="389">
      <x:c r="A389" s="50"/>
      <x:c r="B389" s="64"/>
      <x:c r="C389" s="50"/>
      <x:c r="D389" s="50"/>
      <x:c r="E389" s="50" t="str">
        <x:f>IFERROR(VLOOKUP(D389,Inventory!$B:$C,2,FALSE),"")</x:f>
      </x:c>
      <x:c r="F389" s="65"/>
      <x:c r="G389" s="66"/>
      <x:c r="H389" s="66" t="n">
        <x:f>F389*G389</x:f>
        <x:v>0</x:v>
      </x:c>
      <x:c r="I389" s="50"/>
      <x:c r="J389" s="50"/>
      <x:c r="K389" s="50"/>
      <x:c r="L389" s="50"/>
      <x:c r="M389" s="50"/>
      <x:c r="N389" s="50"/>
      <x:c r="O389" s="50"/>
    </x:row>
    <x:row r="390">
      <x:c r="A390" s="50"/>
      <x:c r="B390" s="64"/>
      <x:c r="C390" s="50"/>
      <x:c r="D390" s="50"/>
      <x:c r="E390" s="50" t="str">
        <x:f>IFERROR(VLOOKUP(D390,Inventory!$B:$C,2,FALSE),"")</x:f>
      </x:c>
      <x:c r="F390" s="65"/>
      <x:c r="G390" s="66"/>
      <x:c r="H390" s="66" t="n">
        <x:f>F390*G390</x:f>
        <x:v>0</x:v>
      </x:c>
      <x:c r="I390" s="50"/>
      <x:c r="J390" s="50"/>
      <x:c r="K390" s="50"/>
      <x:c r="L390" s="50"/>
      <x:c r="M390" s="50"/>
      <x:c r="N390" s="50"/>
      <x:c r="O390" s="50"/>
    </x:row>
    <x:row r="391">
      <x:c r="A391" s="50"/>
      <x:c r="B391" s="64"/>
      <x:c r="C391" s="50"/>
      <x:c r="D391" s="50"/>
      <x:c r="E391" s="50" t="str">
        <x:f>IFERROR(VLOOKUP(D391,Inventory!$B:$C,2,FALSE),"")</x:f>
      </x:c>
      <x:c r="F391" s="65"/>
      <x:c r="G391" s="66"/>
      <x:c r="H391" s="66" t="n">
        <x:f>F391*G391</x:f>
        <x:v>0</x:v>
      </x:c>
      <x:c r="I391" s="50"/>
      <x:c r="J391" s="50"/>
      <x:c r="K391" s="50"/>
      <x:c r="L391" s="50"/>
      <x:c r="M391" s="50"/>
      <x:c r="N391" s="50"/>
      <x:c r="O391" s="50"/>
    </x:row>
    <x:row r="392">
      <x:c r="A392" s="50"/>
      <x:c r="B392" s="64"/>
      <x:c r="C392" s="50"/>
      <x:c r="D392" s="50"/>
      <x:c r="E392" s="50" t="str">
        <x:f>IFERROR(VLOOKUP(D392,Inventory!$B:$C,2,FALSE),"")</x:f>
      </x:c>
      <x:c r="F392" s="65"/>
      <x:c r="G392" s="66"/>
      <x:c r="H392" s="66" t="n">
        <x:f>F392*G392</x:f>
        <x:v>0</x:v>
      </x:c>
      <x:c r="I392" s="50"/>
      <x:c r="J392" s="50"/>
      <x:c r="K392" s="50"/>
      <x:c r="L392" s="50"/>
      <x:c r="M392" s="50"/>
      <x:c r="N392" s="50"/>
      <x:c r="O392" s="50"/>
    </x:row>
    <x:row r="393">
      <x:c r="A393" s="50"/>
      <x:c r="B393" s="64"/>
      <x:c r="C393" s="50"/>
      <x:c r="D393" s="50"/>
      <x:c r="E393" s="50" t="str">
        <x:f>IFERROR(VLOOKUP(D393,Inventory!$B:$C,2,FALSE),"")</x:f>
      </x:c>
      <x:c r="F393" s="65"/>
      <x:c r="G393" s="66"/>
      <x:c r="H393" s="66" t="n">
        <x:f>F393*G393</x:f>
        <x:v>0</x:v>
      </x:c>
      <x:c r="I393" s="50"/>
      <x:c r="J393" s="50"/>
      <x:c r="K393" s="50"/>
      <x:c r="L393" s="50"/>
      <x:c r="M393" s="50"/>
      <x:c r="N393" s="50"/>
      <x:c r="O393" s="50"/>
    </x:row>
    <x:row r="394">
      <x:c r="A394" s="50"/>
      <x:c r="B394" s="64"/>
      <x:c r="C394" s="50"/>
      <x:c r="D394" s="50"/>
      <x:c r="E394" s="50" t="str">
        <x:f>IFERROR(VLOOKUP(D394,Inventory!$B:$C,2,FALSE),"")</x:f>
      </x:c>
      <x:c r="F394" s="65"/>
      <x:c r="G394" s="66"/>
      <x:c r="H394" s="66" t="n">
        <x:f>F394*G394</x:f>
        <x:v>0</x:v>
      </x:c>
      <x:c r="I394" s="50"/>
      <x:c r="J394" s="50"/>
      <x:c r="K394" s="50"/>
      <x:c r="L394" s="50"/>
      <x:c r="M394" s="50"/>
      <x:c r="N394" s="50"/>
      <x:c r="O394" s="50"/>
    </x:row>
    <x:row r="395">
      <x:c r="A395" s="50"/>
      <x:c r="B395" s="64"/>
      <x:c r="C395" s="50"/>
      <x:c r="D395" s="50"/>
      <x:c r="E395" s="50" t="str">
        <x:f>IFERROR(VLOOKUP(D395,Inventory!$B:$C,2,FALSE),"")</x:f>
      </x:c>
      <x:c r="F395" s="65"/>
      <x:c r="G395" s="66"/>
      <x:c r="H395" s="66" t="n">
        <x:f>F395*G395</x:f>
        <x:v>0</x:v>
      </x:c>
      <x:c r="I395" s="50"/>
      <x:c r="J395" s="50"/>
      <x:c r="K395" s="50"/>
      <x:c r="L395" s="50"/>
      <x:c r="M395" s="50"/>
      <x:c r="N395" s="50"/>
      <x:c r="O395" s="50"/>
    </x:row>
    <x:row r="396">
      <x:c r="A396" s="50"/>
      <x:c r="B396" s="64"/>
      <x:c r="C396" s="50"/>
      <x:c r="D396" s="50"/>
      <x:c r="E396" s="50" t="str">
        <x:f>IFERROR(VLOOKUP(D396,Inventory!$B:$C,2,FALSE),"")</x:f>
      </x:c>
      <x:c r="F396" s="65"/>
      <x:c r="G396" s="66"/>
      <x:c r="H396" s="66" t="n">
        <x:f>F396*G396</x:f>
        <x:v>0</x:v>
      </x:c>
      <x:c r="I396" s="50"/>
      <x:c r="J396" s="50"/>
      <x:c r="K396" s="50"/>
      <x:c r="L396" s="50"/>
      <x:c r="M396" s="50"/>
      <x:c r="N396" s="50"/>
      <x:c r="O396" s="50"/>
    </x:row>
    <x:row r="397">
      <x:c r="A397" s="50"/>
      <x:c r="B397" s="64"/>
      <x:c r="C397" s="50"/>
      <x:c r="D397" s="50"/>
      <x:c r="E397" s="50" t="str">
        <x:f>IFERROR(VLOOKUP(D397,Inventory!$B:$C,2,FALSE),"")</x:f>
      </x:c>
      <x:c r="F397" s="65"/>
      <x:c r="G397" s="66"/>
      <x:c r="H397" s="66" t="n">
        <x:f>F397*G397</x:f>
        <x:v>0</x:v>
      </x:c>
      <x:c r="I397" s="50"/>
      <x:c r="J397" s="50"/>
      <x:c r="K397" s="50"/>
      <x:c r="L397" s="50"/>
      <x:c r="M397" s="50"/>
      <x:c r="N397" s="50"/>
      <x:c r="O397" s="50"/>
    </x:row>
    <x:row r="398">
      <x:c r="A398" s="50"/>
      <x:c r="B398" s="64"/>
      <x:c r="C398" s="50"/>
      <x:c r="D398" s="50"/>
      <x:c r="E398" s="50" t="str">
        <x:f>IFERROR(VLOOKUP(D398,Inventory!$B:$C,2,FALSE),"")</x:f>
      </x:c>
      <x:c r="F398" s="65"/>
      <x:c r="G398" s="66"/>
      <x:c r="H398" s="66" t="n">
        <x:f>F398*G398</x:f>
        <x:v>0</x:v>
      </x:c>
      <x:c r="I398" s="50"/>
      <x:c r="J398" s="50"/>
      <x:c r="K398" s="50"/>
      <x:c r="L398" s="50"/>
      <x:c r="M398" s="50"/>
      <x:c r="N398" s="50"/>
      <x:c r="O398" s="50"/>
    </x:row>
    <x:row r="399">
      <x:c r="A399" s="50"/>
      <x:c r="B399" s="64"/>
      <x:c r="C399" s="50"/>
      <x:c r="D399" s="50"/>
      <x:c r="E399" s="50" t="str">
        <x:f>IFERROR(VLOOKUP(D399,Inventory!$B:$C,2,FALSE),"")</x:f>
      </x:c>
      <x:c r="F399" s="65"/>
      <x:c r="G399" s="66"/>
      <x:c r="H399" s="66" t="n">
        <x:f>F399*G399</x:f>
        <x:v>0</x:v>
      </x:c>
      <x:c r="I399" s="50"/>
      <x:c r="J399" s="50"/>
      <x:c r="K399" s="50"/>
      <x:c r="L399" s="50"/>
      <x:c r="M399" s="50"/>
      <x:c r="N399" s="50"/>
      <x:c r="O399" s="50"/>
    </x:row>
    <x:row r="400">
      <x:c r="A400" s="50"/>
      <x:c r="B400" s="64"/>
      <x:c r="C400" s="50"/>
      <x:c r="D400" s="50"/>
      <x:c r="E400" s="50" t="str">
        <x:f>IFERROR(VLOOKUP(D400,Inventory!$B:$C,2,FALSE),"")</x:f>
      </x:c>
      <x:c r="F400" s="65"/>
      <x:c r="G400" s="66"/>
      <x:c r="H400" s="66" t="n">
        <x:f>F400*G400</x:f>
        <x:v>0</x:v>
      </x:c>
      <x:c r="I400" s="50"/>
      <x:c r="J400" s="50"/>
      <x:c r="K400" s="50"/>
      <x:c r="L400" s="50"/>
      <x:c r="M400" s="50"/>
      <x:c r="N400" s="50"/>
      <x:c r="O400" s="50"/>
    </x:row>
    <x:row r="401">
      <x:c r="A401" s="50"/>
      <x:c r="B401" s="64"/>
      <x:c r="C401" s="50"/>
      <x:c r="D401" s="50"/>
      <x:c r="E401" s="50" t="str">
        <x:f>IFERROR(VLOOKUP(D401,Inventory!$B:$C,2,FALSE),"")</x:f>
      </x:c>
      <x:c r="F401" s="65"/>
      <x:c r="G401" s="66"/>
      <x:c r="H401" s="66" t="n">
        <x:f>F401*G401</x:f>
        <x:v>0</x:v>
      </x:c>
      <x:c r="I401" s="50"/>
      <x:c r="J401" s="50"/>
      <x:c r="K401" s="50"/>
      <x:c r="L401" s="50"/>
      <x:c r="M401" s="50"/>
      <x:c r="N401" s="50"/>
      <x:c r="O401" s="50"/>
    </x:row>
    <x:row r="402">
      <x:c r="A402" s="50"/>
      <x:c r="B402" s="64"/>
      <x:c r="C402" s="50"/>
      <x:c r="D402" s="50"/>
      <x:c r="E402" s="50" t="str">
        <x:f>IFERROR(VLOOKUP(D402,Inventory!$B:$C,2,FALSE),"")</x:f>
      </x:c>
      <x:c r="F402" s="65"/>
      <x:c r="G402" s="66"/>
      <x:c r="H402" s="66" t="n">
        <x:f>F402*G402</x:f>
        <x:v>0</x:v>
      </x:c>
      <x:c r="I402" s="50"/>
      <x:c r="J402" s="50"/>
      <x:c r="K402" s="50"/>
      <x:c r="L402" s="50"/>
      <x:c r="M402" s="50"/>
      <x:c r="N402" s="50"/>
      <x:c r="O402" s="50"/>
    </x:row>
    <x:row r="403">
      <x:c r="A403" s="50"/>
      <x:c r="B403" s="64"/>
      <x:c r="C403" s="50"/>
      <x:c r="D403" s="50"/>
      <x:c r="E403" s="50" t="str">
        <x:f>IFERROR(VLOOKUP(D403,Inventory!$B:$C,2,FALSE),"")</x:f>
      </x:c>
      <x:c r="F403" s="65"/>
      <x:c r="G403" s="66"/>
      <x:c r="H403" s="66" t="n">
        <x:f>F403*G403</x:f>
        <x:v>0</x:v>
      </x:c>
      <x:c r="I403" s="50"/>
      <x:c r="J403" s="50"/>
      <x:c r="K403" s="50"/>
      <x:c r="L403" s="50"/>
      <x:c r="M403" s="50"/>
      <x:c r="N403" s="50"/>
      <x:c r="O403" s="50"/>
    </x:row>
    <x:row r="404">
      <x:c r="A404" s="50"/>
      <x:c r="B404" s="64"/>
      <x:c r="C404" s="50"/>
      <x:c r="D404" s="50"/>
      <x:c r="E404" s="50" t="str">
        <x:f>IFERROR(VLOOKUP(D404,Inventory!$B:$C,2,FALSE),"")</x:f>
      </x:c>
      <x:c r="F404" s="65"/>
      <x:c r="G404" s="66"/>
      <x:c r="H404" s="66" t="n">
        <x:f>F404*G404</x:f>
        <x:v>0</x:v>
      </x:c>
      <x:c r="I404" s="50"/>
      <x:c r="J404" s="50"/>
      <x:c r="K404" s="50"/>
      <x:c r="L404" s="50"/>
      <x:c r="M404" s="50"/>
      <x:c r="N404" s="50"/>
      <x:c r="O404" s="50"/>
    </x:row>
    <x:row r="405">
      <x:c r="A405" s="50"/>
      <x:c r="B405" s="64"/>
      <x:c r="C405" s="50"/>
      <x:c r="D405" s="50"/>
      <x:c r="E405" s="50" t="str">
        <x:f>IFERROR(VLOOKUP(D405,Inventory!$B:$C,2,FALSE),"")</x:f>
      </x:c>
      <x:c r="F405" s="65"/>
      <x:c r="G405" s="66"/>
      <x:c r="H405" s="66" t="n">
        <x:f>F405*G405</x:f>
        <x:v>0</x:v>
      </x:c>
      <x:c r="I405" s="50"/>
      <x:c r="J405" s="50"/>
      <x:c r="K405" s="50"/>
      <x:c r="L405" s="50"/>
      <x:c r="M405" s="50"/>
      <x:c r="N405" s="50"/>
      <x:c r="O405" s="50"/>
    </x:row>
    <x:row r="406">
      <x:c r="A406" s="50"/>
      <x:c r="B406" s="64"/>
      <x:c r="C406" s="50"/>
      <x:c r="D406" s="50"/>
      <x:c r="E406" s="50" t="str">
        <x:f>IFERROR(VLOOKUP(D406,Inventory!$B:$C,2,FALSE),"")</x:f>
      </x:c>
      <x:c r="F406" s="65"/>
      <x:c r="G406" s="66"/>
      <x:c r="H406" s="66" t="n">
        <x:f>F406*G406</x:f>
        <x:v>0</x:v>
      </x:c>
      <x:c r="I406" s="50"/>
      <x:c r="J406" s="50"/>
      <x:c r="K406" s="50"/>
      <x:c r="L406" s="50"/>
      <x:c r="M406" s="50"/>
      <x:c r="N406" s="50"/>
      <x:c r="O406" s="50"/>
    </x:row>
    <x:row r="407">
      <x:c r="A407" s="50"/>
      <x:c r="B407" s="64"/>
      <x:c r="C407" s="50"/>
      <x:c r="D407" s="50"/>
      <x:c r="E407" s="50" t="str">
        <x:f>IFERROR(VLOOKUP(D407,Inventory!$B:$C,2,FALSE),"")</x:f>
      </x:c>
      <x:c r="F407" s="65"/>
      <x:c r="G407" s="66"/>
      <x:c r="H407" s="66" t="n">
        <x:f>F407*G407</x:f>
        <x:v>0</x:v>
      </x:c>
      <x:c r="I407" s="50"/>
      <x:c r="J407" s="50"/>
      <x:c r="K407" s="50"/>
      <x:c r="L407" s="50"/>
      <x:c r="M407" s="50"/>
      <x:c r="N407" s="50"/>
      <x:c r="O407" s="50"/>
    </x:row>
    <x:row r="408">
      <x:c r="A408" s="50"/>
      <x:c r="B408" s="64"/>
      <x:c r="C408" s="50"/>
      <x:c r="D408" s="50"/>
      <x:c r="E408" s="50" t="str">
        <x:f>IFERROR(VLOOKUP(D408,Inventory!$B:$C,2,FALSE),"")</x:f>
      </x:c>
      <x:c r="F408" s="65"/>
      <x:c r="G408" s="66"/>
      <x:c r="H408" s="66" t="n">
        <x:f>F408*G408</x:f>
        <x:v>0</x:v>
      </x:c>
      <x:c r="I408" s="50"/>
      <x:c r="J408" s="50"/>
      <x:c r="K408" s="50"/>
      <x:c r="L408" s="50"/>
      <x:c r="M408" s="50"/>
      <x:c r="N408" s="50"/>
      <x:c r="O408" s="50"/>
    </x:row>
    <x:row r="409">
      <x:c r="A409" s="50"/>
      <x:c r="B409" s="64"/>
      <x:c r="C409" s="50"/>
      <x:c r="D409" s="50"/>
      <x:c r="E409" s="50" t="str">
        <x:f>IFERROR(VLOOKUP(D409,Inventory!$B:$C,2,FALSE),"")</x:f>
      </x:c>
      <x:c r="F409" s="65"/>
      <x:c r="G409" s="66"/>
      <x:c r="H409" s="66" t="n">
        <x:f>F409*G409</x:f>
        <x:v>0</x:v>
      </x:c>
      <x:c r="I409" s="50"/>
      <x:c r="J409" s="50"/>
      <x:c r="K409" s="50"/>
      <x:c r="L409" s="50"/>
      <x:c r="M409" s="50"/>
      <x:c r="N409" s="50"/>
      <x:c r="O409" s="50"/>
    </x:row>
    <x:row r="410">
      <x:c r="A410" s="50"/>
      <x:c r="B410" s="64"/>
      <x:c r="C410" s="50"/>
      <x:c r="D410" s="50"/>
      <x:c r="E410" s="50" t="str">
        <x:f>IFERROR(VLOOKUP(D410,Inventory!$B:$C,2,FALSE),"")</x:f>
      </x:c>
      <x:c r="F410" s="65"/>
      <x:c r="G410" s="66"/>
      <x:c r="H410" s="66" t="n">
        <x:f>F410*G410</x:f>
        <x:v>0</x:v>
      </x:c>
      <x:c r="I410" s="50"/>
      <x:c r="J410" s="50"/>
      <x:c r="K410" s="50"/>
      <x:c r="L410" s="50"/>
      <x:c r="M410" s="50"/>
      <x:c r="N410" s="50"/>
      <x:c r="O410" s="50"/>
    </x:row>
    <x:row r="411">
      <x:c r="A411" s="50"/>
      <x:c r="B411" s="64"/>
      <x:c r="C411" s="50"/>
      <x:c r="D411" s="50"/>
      <x:c r="E411" s="50" t="str">
        <x:f>IFERROR(VLOOKUP(D411,Inventory!$B:$C,2,FALSE),"")</x:f>
      </x:c>
      <x:c r="F411" s="65"/>
      <x:c r="G411" s="66"/>
      <x:c r="H411" s="66" t="n">
        <x:f>F411*G411</x:f>
        <x:v>0</x:v>
      </x:c>
      <x:c r="I411" s="50"/>
      <x:c r="J411" s="50"/>
      <x:c r="K411" s="50"/>
      <x:c r="L411" s="50"/>
      <x:c r="M411" s="50"/>
      <x:c r="N411" s="50"/>
      <x:c r="O411" s="50"/>
    </x:row>
    <x:row r="412">
      <x:c r="A412" s="50"/>
      <x:c r="B412" s="64"/>
      <x:c r="C412" s="50"/>
      <x:c r="D412" s="50"/>
      <x:c r="E412" s="50" t="str">
        <x:f>IFERROR(VLOOKUP(D412,Inventory!$B:$C,2,FALSE),"")</x:f>
      </x:c>
      <x:c r="F412" s="65"/>
      <x:c r="G412" s="66"/>
      <x:c r="H412" s="66" t="n">
        <x:f>F412*G412</x:f>
        <x:v>0</x:v>
      </x:c>
      <x:c r="I412" s="50"/>
      <x:c r="J412" s="50"/>
      <x:c r="K412" s="50"/>
      <x:c r="L412" s="50"/>
      <x:c r="M412" s="50"/>
      <x:c r="N412" s="50"/>
      <x:c r="O412" s="50"/>
    </x:row>
    <x:row r="413">
      <x:c r="A413" s="50"/>
      <x:c r="B413" s="64"/>
      <x:c r="C413" s="50"/>
      <x:c r="D413" s="50"/>
      <x:c r="E413" s="50" t="str">
        <x:f>IFERROR(VLOOKUP(D413,Inventory!$B:$C,2,FALSE),"")</x:f>
      </x:c>
      <x:c r="F413" s="65"/>
      <x:c r="G413" s="66"/>
      <x:c r="H413" s="66" t="n">
        <x:f>F413*G413</x:f>
        <x:v>0</x:v>
      </x:c>
      <x:c r="I413" s="50"/>
      <x:c r="J413" s="50"/>
      <x:c r="K413" s="50"/>
      <x:c r="L413" s="50"/>
      <x:c r="M413" s="50"/>
      <x:c r="N413" s="50"/>
      <x:c r="O413" s="50"/>
    </x:row>
    <x:row r="414">
      <x:c r="A414" s="50"/>
      <x:c r="B414" s="64"/>
      <x:c r="C414" s="50"/>
      <x:c r="D414" s="50"/>
      <x:c r="E414" s="50" t="str">
        <x:f>IFERROR(VLOOKUP(D414,Inventory!$B:$C,2,FALSE),"")</x:f>
      </x:c>
      <x:c r="F414" s="65"/>
      <x:c r="G414" s="66"/>
      <x:c r="H414" s="66" t="n">
        <x:f>F414*G414</x:f>
        <x:v>0</x:v>
      </x:c>
      <x:c r="I414" s="50"/>
      <x:c r="J414" s="50"/>
      <x:c r="K414" s="50"/>
      <x:c r="L414" s="50"/>
      <x:c r="M414" s="50"/>
      <x:c r="N414" s="50"/>
      <x:c r="O414" s="50"/>
    </x:row>
    <x:row r="415">
      <x:c r="A415" s="50"/>
      <x:c r="B415" s="64"/>
      <x:c r="C415" s="50"/>
      <x:c r="D415" s="50"/>
      <x:c r="E415" s="50" t="str">
        <x:f>IFERROR(VLOOKUP(D415,Inventory!$B:$C,2,FALSE),"")</x:f>
      </x:c>
      <x:c r="F415" s="65"/>
      <x:c r="G415" s="66"/>
      <x:c r="H415" s="66" t="n">
        <x:f>F415*G415</x:f>
        <x:v>0</x:v>
      </x:c>
      <x:c r="I415" s="50"/>
      <x:c r="J415" s="50"/>
      <x:c r="K415" s="50"/>
      <x:c r="L415" s="50"/>
      <x:c r="M415" s="50"/>
      <x:c r="N415" s="50"/>
      <x:c r="O415" s="50"/>
    </x:row>
    <x:row r="416">
      <x:c r="A416" s="50"/>
      <x:c r="B416" s="64"/>
      <x:c r="C416" s="50"/>
      <x:c r="D416" s="50"/>
      <x:c r="E416" s="50" t="str">
        <x:f>IFERROR(VLOOKUP(D416,Inventory!$B:$C,2,FALSE),"")</x:f>
      </x:c>
      <x:c r="F416" s="65"/>
      <x:c r="G416" s="66"/>
      <x:c r="H416" s="66" t="n">
        <x:f>F416*G416</x:f>
        <x:v>0</x:v>
      </x:c>
      <x:c r="I416" s="50"/>
      <x:c r="J416" s="50"/>
      <x:c r="K416" s="50"/>
      <x:c r="L416" s="50"/>
      <x:c r="M416" s="50"/>
      <x:c r="N416" s="50"/>
      <x:c r="O416" s="50"/>
    </x:row>
    <x:row r="417">
      <x:c r="A417" s="50"/>
      <x:c r="B417" s="64"/>
      <x:c r="C417" s="50"/>
      <x:c r="D417" s="50"/>
      <x:c r="E417" s="50" t="str">
        <x:f>IFERROR(VLOOKUP(D417,Inventory!$B:$C,2,FALSE),"")</x:f>
      </x:c>
      <x:c r="F417" s="65"/>
      <x:c r="G417" s="66"/>
      <x:c r="H417" s="66" t="n">
        <x:f>F417*G417</x:f>
        <x:v>0</x:v>
      </x:c>
      <x:c r="I417" s="50"/>
      <x:c r="J417" s="50"/>
      <x:c r="K417" s="50"/>
      <x:c r="L417" s="50"/>
      <x:c r="M417" s="50"/>
      <x:c r="N417" s="50"/>
      <x:c r="O417" s="50"/>
    </x:row>
    <x:row r="418">
      <x:c r="A418" s="50"/>
      <x:c r="B418" s="64"/>
      <x:c r="C418" s="50"/>
      <x:c r="D418" s="50"/>
      <x:c r="E418" s="50" t="str">
        <x:f>IFERROR(VLOOKUP(D418,Inventory!$B:$C,2,FALSE),"")</x:f>
      </x:c>
      <x:c r="F418" s="65"/>
      <x:c r="G418" s="66"/>
      <x:c r="H418" s="66" t="n">
        <x:f>F418*G418</x:f>
        <x:v>0</x:v>
      </x:c>
      <x:c r="I418" s="50"/>
      <x:c r="J418" s="50"/>
      <x:c r="K418" s="50"/>
      <x:c r="L418" s="50"/>
      <x:c r="M418" s="50"/>
      <x:c r="N418" s="50"/>
      <x:c r="O418" s="50"/>
    </x:row>
    <x:row r="419">
      <x:c r="A419" s="50"/>
      <x:c r="B419" s="64"/>
      <x:c r="C419" s="50"/>
      <x:c r="D419" s="50"/>
      <x:c r="E419" s="50" t="str">
        <x:f>IFERROR(VLOOKUP(D419,Inventory!$B:$C,2,FALSE),"")</x:f>
      </x:c>
      <x:c r="F419" s="65"/>
      <x:c r="G419" s="66"/>
      <x:c r="H419" s="66" t="n">
        <x:f>F419*G419</x:f>
        <x:v>0</x:v>
      </x:c>
      <x:c r="I419" s="50"/>
      <x:c r="J419" s="50"/>
      <x:c r="K419" s="50"/>
      <x:c r="L419" s="50"/>
      <x:c r="M419" s="50"/>
      <x:c r="N419" s="50"/>
      <x:c r="O419" s="50"/>
    </x:row>
    <x:row r="420">
      <x:c r="A420" s="50"/>
      <x:c r="B420" s="64"/>
      <x:c r="C420" s="50"/>
      <x:c r="D420" s="50"/>
      <x:c r="E420" s="50" t="str">
        <x:f>IFERROR(VLOOKUP(D420,Inventory!$B:$C,2,FALSE),"")</x:f>
      </x:c>
      <x:c r="F420" s="65"/>
      <x:c r="G420" s="66"/>
      <x:c r="H420" s="66" t="n">
        <x:f>F420*G420</x:f>
        <x:v>0</x:v>
      </x:c>
      <x:c r="I420" s="50"/>
      <x:c r="J420" s="50"/>
      <x:c r="K420" s="50"/>
      <x:c r="L420" s="50"/>
      <x:c r="M420" s="50"/>
      <x:c r="N420" s="50"/>
      <x:c r="O420" s="50"/>
    </x:row>
    <x:row r="421">
      <x:c r="A421" s="50"/>
      <x:c r="B421" s="64"/>
      <x:c r="C421" s="50"/>
      <x:c r="D421" s="50"/>
      <x:c r="E421" s="50" t="str">
        <x:f>IFERROR(VLOOKUP(D421,Inventory!$B:$C,2,FALSE),"")</x:f>
      </x:c>
      <x:c r="F421" s="65"/>
      <x:c r="G421" s="66"/>
      <x:c r="H421" s="66" t="n">
        <x:f>F421*G421</x:f>
        <x:v>0</x:v>
      </x:c>
      <x:c r="I421" s="50"/>
      <x:c r="J421" s="50"/>
      <x:c r="K421" s="50"/>
      <x:c r="L421" s="50"/>
      <x:c r="M421" s="50"/>
      <x:c r="N421" s="50"/>
      <x:c r="O421" s="50"/>
    </x:row>
    <x:row r="422">
      <x:c r="A422" s="50"/>
      <x:c r="B422" s="64"/>
      <x:c r="C422" s="50"/>
      <x:c r="D422" s="50"/>
      <x:c r="E422" s="50" t="str">
        <x:f>IFERROR(VLOOKUP(D422,Inventory!$B:$C,2,FALSE),"")</x:f>
      </x:c>
      <x:c r="F422" s="65"/>
      <x:c r="G422" s="66"/>
      <x:c r="H422" s="66" t="n">
        <x:f>F422*G422</x:f>
        <x:v>0</x:v>
      </x:c>
      <x:c r="I422" s="50"/>
      <x:c r="J422" s="50"/>
      <x:c r="K422" s="50"/>
      <x:c r="L422" s="50"/>
      <x:c r="M422" s="50"/>
      <x:c r="N422" s="50"/>
      <x:c r="O422" s="50"/>
    </x:row>
    <x:row r="423">
      <x:c r="A423" s="50"/>
      <x:c r="B423" s="64"/>
      <x:c r="C423" s="50"/>
      <x:c r="D423" s="50"/>
      <x:c r="E423" s="50" t="str">
        <x:f>IFERROR(VLOOKUP(D423,Inventory!$B:$C,2,FALSE),"")</x:f>
      </x:c>
      <x:c r="F423" s="65"/>
      <x:c r="G423" s="66"/>
      <x:c r="H423" s="66" t="n">
        <x:f>F423*G423</x:f>
        <x:v>0</x:v>
      </x:c>
      <x:c r="I423" s="50"/>
      <x:c r="J423" s="50"/>
      <x:c r="K423" s="50"/>
      <x:c r="L423" s="50"/>
      <x:c r="M423" s="50"/>
      <x:c r="N423" s="50"/>
      <x:c r="O423" s="50"/>
    </x:row>
    <x:row r="424">
      <x:c r="A424" s="50"/>
      <x:c r="B424" s="64"/>
      <x:c r="C424" s="50"/>
      <x:c r="D424" s="50"/>
      <x:c r="E424" s="50" t="str">
        <x:f>IFERROR(VLOOKUP(D424,Inventory!$B:$C,2,FALSE),"")</x:f>
      </x:c>
      <x:c r="F424" s="65"/>
      <x:c r="G424" s="66"/>
      <x:c r="H424" s="66" t="n">
        <x:f>F424*G424</x:f>
        <x:v>0</x:v>
      </x:c>
      <x:c r="I424" s="50"/>
      <x:c r="J424" s="50"/>
      <x:c r="K424" s="50"/>
      <x:c r="L424" s="50"/>
      <x:c r="M424" s="50"/>
      <x:c r="N424" s="50"/>
      <x:c r="O424" s="50"/>
    </x:row>
    <x:row r="425">
      <x:c r="A425" s="50"/>
      <x:c r="B425" s="64"/>
      <x:c r="C425" s="50"/>
      <x:c r="D425" s="50"/>
      <x:c r="E425" s="50" t="str">
        <x:f>IFERROR(VLOOKUP(D425,Inventory!$B:$C,2,FALSE),"")</x:f>
      </x:c>
      <x:c r="F425" s="65"/>
      <x:c r="G425" s="66"/>
      <x:c r="H425" s="66" t="n">
        <x:f>F425*G425</x:f>
        <x:v>0</x:v>
      </x:c>
      <x:c r="I425" s="50"/>
      <x:c r="J425" s="50"/>
      <x:c r="K425" s="50"/>
      <x:c r="L425" s="50"/>
      <x:c r="M425" s="50"/>
      <x:c r="N425" s="50"/>
      <x:c r="O425" s="50"/>
    </x:row>
    <x:row r="426">
      <x:c r="A426" s="50"/>
      <x:c r="B426" s="64"/>
      <x:c r="C426" s="50"/>
      <x:c r="D426" s="50"/>
      <x:c r="E426" s="50" t="str">
        <x:f>IFERROR(VLOOKUP(D426,Inventory!$B:$C,2,FALSE),"")</x:f>
      </x:c>
      <x:c r="F426" s="65"/>
      <x:c r="G426" s="66"/>
      <x:c r="H426" s="66" t="n">
        <x:f>F426*G426</x:f>
        <x:v>0</x:v>
      </x:c>
      <x:c r="I426" s="50"/>
      <x:c r="J426" s="50"/>
      <x:c r="K426" s="50"/>
      <x:c r="L426" s="50"/>
      <x:c r="M426" s="50"/>
      <x:c r="N426" s="50"/>
      <x:c r="O426" s="50"/>
    </x:row>
    <x:row r="427">
      <x:c r="A427" s="50"/>
      <x:c r="B427" s="64"/>
      <x:c r="C427" s="50"/>
      <x:c r="D427" s="50"/>
      <x:c r="E427" s="50" t="str">
        <x:f>IFERROR(VLOOKUP(D427,Inventory!$B:$C,2,FALSE),"")</x:f>
      </x:c>
      <x:c r="F427" s="65"/>
      <x:c r="G427" s="66"/>
      <x:c r="H427" s="66" t="n">
        <x:f>F427*G427</x:f>
        <x:v>0</x:v>
      </x:c>
      <x:c r="I427" s="50"/>
      <x:c r="J427" s="50"/>
      <x:c r="K427" s="50"/>
      <x:c r="L427" s="50"/>
      <x:c r="M427" s="50"/>
      <x:c r="N427" s="50"/>
      <x:c r="O427" s="50"/>
    </x:row>
    <x:row r="428">
      <x:c r="A428" s="50"/>
      <x:c r="B428" s="64"/>
      <x:c r="C428" s="50"/>
      <x:c r="D428" s="50"/>
      <x:c r="E428" s="50" t="str">
        <x:f>IFERROR(VLOOKUP(D428,Inventory!$B:$C,2,FALSE),"")</x:f>
      </x:c>
      <x:c r="F428" s="65"/>
      <x:c r="G428" s="66"/>
      <x:c r="H428" s="66" t="n">
        <x:f>F428*G428</x:f>
        <x:v>0</x:v>
      </x:c>
      <x:c r="I428" s="50"/>
      <x:c r="J428" s="50"/>
      <x:c r="K428" s="50"/>
      <x:c r="L428" s="50"/>
      <x:c r="M428" s="50"/>
      <x:c r="N428" s="50"/>
      <x:c r="O428" s="50"/>
    </x:row>
    <x:row r="429">
      <x:c r="A429" s="50"/>
      <x:c r="B429" s="64"/>
      <x:c r="C429" s="50"/>
      <x:c r="D429" s="50"/>
      <x:c r="E429" s="50" t="str">
        <x:f>IFERROR(VLOOKUP(D429,Inventory!$B:$C,2,FALSE),"")</x:f>
      </x:c>
      <x:c r="F429" s="65"/>
      <x:c r="G429" s="66"/>
      <x:c r="H429" s="66" t="n">
        <x:f>F429*G429</x:f>
        <x:v>0</x:v>
      </x:c>
      <x:c r="I429" s="50"/>
      <x:c r="J429" s="50"/>
      <x:c r="K429" s="50"/>
      <x:c r="L429" s="50"/>
      <x:c r="M429" s="50"/>
      <x:c r="N429" s="50"/>
      <x:c r="O429" s="50"/>
    </x:row>
    <x:row r="430">
      <x:c r="A430" s="50"/>
      <x:c r="B430" s="64"/>
      <x:c r="C430" s="50"/>
      <x:c r="D430" s="50"/>
      <x:c r="E430" s="50" t="str">
        <x:f>IFERROR(VLOOKUP(D430,Inventory!$B:$C,2,FALSE),"")</x:f>
      </x:c>
      <x:c r="F430" s="65"/>
      <x:c r="G430" s="66"/>
      <x:c r="H430" s="66" t="n">
        <x:f>F430*G430</x:f>
        <x:v>0</x:v>
      </x:c>
      <x:c r="I430" s="50"/>
      <x:c r="J430" s="50"/>
      <x:c r="K430" s="50"/>
      <x:c r="L430" s="50"/>
      <x:c r="M430" s="50"/>
      <x:c r="N430" s="50"/>
      <x:c r="O430" s="50"/>
    </x:row>
    <x:row r="431">
      <x:c r="A431" s="50"/>
      <x:c r="B431" s="64"/>
      <x:c r="C431" s="50"/>
      <x:c r="D431" s="50"/>
      <x:c r="E431" s="50" t="str">
        <x:f>IFERROR(VLOOKUP(D431,Inventory!$B:$C,2,FALSE),"")</x:f>
      </x:c>
      <x:c r="F431" s="65"/>
      <x:c r="G431" s="66"/>
      <x:c r="H431" s="66" t="n">
        <x:f>F431*G431</x:f>
        <x:v>0</x:v>
      </x:c>
      <x:c r="I431" s="50"/>
      <x:c r="J431" s="50"/>
      <x:c r="K431" s="50"/>
      <x:c r="L431" s="50"/>
      <x:c r="M431" s="50"/>
      <x:c r="N431" s="50"/>
      <x:c r="O431" s="50"/>
    </x:row>
    <x:row r="432">
      <x:c r="A432" s="50"/>
      <x:c r="B432" s="64"/>
      <x:c r="C432" s="50"/>
      <x:c r="D432" s="50"/>
      <x:c r="E432" s="50" t="str">
        <x:f>IFERROR(VLOOKUP(D432,Inventory!$B:$C,2,FALSE),"")</x:f>
      </x:c>
      <x:c r="F432" s="65"/>
      <x:c r="G432" s="66"/>
      <x:c r="H432" s="66" t="n">
        <x:f>F432*G432</x:f>
        <x:v>0</x:v>
      </x:c>
      <x:c r="I432" s="50"/>
      <x:c r="J432" s="50"/>
      <x:c r="K432" s="50"/>
      <x:c r="L432" s="50"/>
      <x:c r="M432" s="50"/>
      <x:c r="N432" s="50"/>
      <x:c r="O432" s="50"/>
    </x:row>
    <x:row r="433">
      <x:c r="A433" s="50"/>
      <x:c r="B433" s="64"/>
      <x:c r="C433" s="50"/>
      <x:c r="D433" s="50"/>
      <x:c r="E433" s="50" t="str">
        <x:f>IFERROR(VLOOKUP(D433,Inventory!$B:$C,2,FALSE),"")</x:f>
      </x:c>
      <x:c r="F433" s="65"/>
      <x:c r="G433" s="66"/>
      <x:c r="H433" s="66" t="n">
        <x:f>F433*G433</x:f>
        <x:v>0</x:v>
      </x:c>
      <x:c r="I433" s="50"/>
      <x:c r="J433" s="50"/>
      <x:c r="K433" s="50"/>
      <x:c r="L433" s="50"/>
      <x:c r="M433" s="50"/>
      <x:c r="N433" s="50"/>
      <x:c r="O433" s="50"/>
    </x:row>
    <x:row r="434">
      <x:c r="A434" s="50"/>
      <x:c r="B434" s="64"/>
      <x:c r="C434" s="50"/>
      <x:c r="D434" s="50"/>
      <x:c r="E434" s="50" t="str">
        <x:f>IFERROR(VLOOKUP(D434,Inventory!$B:$C,2,FALSE),"")</x:f>
      </x:c>
      <x:c r="F434" s="65"/>
      <x:c r="G434" s="66"/>
      <x:c r="H434" s="66" t="n">
        <x:f>F434*G434</x:f>
        <x:v>0</x:v>
      </x:c>
      <x:c r="I434" s="50"/>
      <x:c r="J434" s="50"/>
      <x:c r="K434" s="50"/>
      <x:c r="L434" s="50"/>
      <x:c r="M434" s="50"/>
      <x:c r="N434" s="50"/>
      <x:c r="O434" s="50"/>
    </x:row>
    <x:row r="435">
      <x:c r="A435" s="50"/>
      <x:c r="B435" s="64"/>
      <x:c r="C435" s="50"/>
      <x:c r="D435" s="50"/>
      <x:c r="E435" s="50" t="str">
        <x:f>IFERROR(VLOOKUP(D435,Inventory!$B:$C,2,FALSE),"")</x:f>
      </x:c>
      <x:c r="F435" s="65"/>
      <x:c r="G435" s="66"/>
      <x:c r="H435" s="66" t="n">
        <x:f>F435*G435</x:f>
        <x:v>0</x:v>
      </x:c>
      <x:c r="I435" s="50"/>
      <x:c r="J435" s="50"/>
      <x:c r="K435" s="50"/>
      <x:c r="L435" s="50"/>
      <x:c r="M435" s="50"/>
      <x:c r="N435" s="50"/>
      <x:c r="O435" s="50"/>
    </x:row>
    <x:row r="436">
      <x:c r="A436" s="50"/>
      <x:c r="B436" s="64"/>
      <x:c r="C436" s="50"/>
      <x:c r="D436" s="50"/>
      <x:c r="E436" s="50" t="str">
        <x:f>IFERROR(VLOOKUP(D436,Inventory!$B:$C,2,FALSE),"")</x:f>
      </x:c>
      <x:c r="F436" s="65"/>
      <x:c r="G436" s="66"/>
      <x:c r="H436" s="66" t="n">
        <x:f>F436*G436</x:f>
        <x:v>0</x:v>
      </x:c>
      <x:c r="I436" s="50"/>
      <x:c r="J436" s="50"/>
      <x:c r="K436" s="50"/>
      <x:c r="L436" s="50"/>
      <x:c r="M436" s="50"/>
      <x:c r="N436" s="50"/>
      <x:c r="O436" s="50"/>
    </x:row>
    <x:row r="437">
      <x:c r="A437" s="50"/>
      <x:c r="B437" s="64"/>
      <x:c r="C437" s="50"/>
      <x:c r="D437" s="50"/>
      <x:c r="E437" s="50" t="str">
        <x:f>IFERROR(VLOOKUP(D437,Inventory!$B:$C,2,FALSE),"")</x:f>
      </x:c>
      <x:c r="F437" s="65"/>
      <x:c r="G437" s="66"/>
      <x:c r="H437" s="66" t="n">
        <x:f>F437*G437</x:f>
        <x:v>0</x:v>
      </x:c>
      <x:c r="I437" s="50"/>
      <x:c r="J437" s="50"/>
      <x:c r="K437" s="50"/>
      <x:c r="L437" s="50"/>
      <x:c r="M437" s="50"/>
      <x:c r="N437" s="50"/>
      <x:c r="O437" s="50"/>
    </x:row>
    <x:row r="438">
      <x:c r="A438" s="50"/>
      <x:c r="B438" s="64"/>
      <x:c r="C438" s="50"/>
      <x:c r="D438" s="50"/>
      <x:c r="E438" s="50" t="str">
        <x:f>IFERROR(VLOOKUP(D438,Inventory!$B:$C,2,FALSE),"")</x:f>
      </x:c>
      <x:c r="F438" s="65"/>
      <x:c r="G438" s="66"/>
      <x:c r="H438" s="66" t="n">
        <x:f>F438*G438</x:f>
        <x:v>0</x:v>
      </x:c>
      <x:c r="I438" s="50"/>
      <x:c r="J438" s="50"/>
      <x:c r="K438" s="50"/>
      <x:c r="L438" s="50"/>
      <x:c r="M438" s="50"/>
      <x:c r="N438" s="50"/>
      <x:c r="O438" s="50"/>
    </x:row>
    <x:row r="439">
      <x:c r="A439" s="50"/>
      <x:c r="B439" s="64"/>
      <x:c r="C439" s="50"/>
      <x:c r="D439" s="50"/>
      <x:c r="E439" s="50" t="str">
        <x:f>IFERROR(VLOOKUP(D439,Inventory!$B:$C,2,FALSE),"")</x:f>
      </x:c>
      <x:c r="F439" s="65"/>
      <x:c r="G439" s="66"/>
      <x:c r="H439" s="66" t="n">
        <x:f>F439*G439</x:f>
        <x:v>0</x:v>
      </x:c>
      <x:c r="I439" s="50"/>
      <x:c r="J439" s="50"/>
      <x:c r="K439" s="50"/>
      <x:c r="L439" s="50"/>
      <x:c r="M439" s="50"/>
      <x:c r="N439" s="50"/>
      <x:c r="O439" s="50"/>
    </x:row>
    <x:row r="440">
      <x:c r="A440" s="50"/>
      <x:c r="B440" s="64"/>
      <x:c r="C440" s="50"/>
      <x:c r="D440" s="50"/>
      <x:c r="E440" s="50" t="str">
        <x:f>IFERROR(VLOOKUP(D440,Inventory!$B:$C,2,FALSE),"")</x:f>
      </x:c>
      <x:c r="F440" s="65"/>
      <x:c r="G440" s="66"/>
      <x:c r="H440" s="66" t="n">
        <x:f>F440*G440</x:f>
        <x:v>0</x:v>
      </x:c>
      <x:c r="I440" s="50"/>
      <x:c r="J440" s="50"/>
      <x:c r="K440" s="50"/>
      <x:c r="L440" s="50"/>
      <x:c r="M440" s="50"/>
      <x:c r="N440" s="50"/>
      <x:c r="O440" s="50"/>
    </x:row>
    <x:row r="441">
      <x:c r="A441" s="50"/>
      <x:c r="B441" s="64"/>
      <x:c r="C441" s="50"/>
      <x:c r="D441" s="50"/>
      <x:c r="E441" s="50" t="str">
        <x:f>IFERROR(VLOOKUP(D441,Inventory!$B:$C,2,FALSE),"")</x:f>
      </x:c>
      <x:c r="F441" s="65"/>
      <x:c r="G441" s="66"/>
      <x:c r="H441" s="66" t="n">
        <x:f>F441*G441</x:f>
        <x:v>0</x:v>
      </x:c>
      <x:c r="I441" s="50"/>
      <x:c r="J441" s="50"/>
      <x:c r="K441" s="50"/>
      <x:c r="L441" s="50"/>
      <x:c r="M441" s="50"/>
      <x:c r="N441" s="50"/>
      <x:c r="O441" s="50"/>
    </x:row>
    <x:row r="442">
      <x:c r="A442" s="50"/>
      <x:c r="B442" s="64"/>
      <x:c r="C442" s="50"/>
      <x:c r="D442" s="50"/>
      <x:c r="E442" s="50" t="str">
        <x:f>IFERROR(VLOOKUP(D442,Inventory!$B:$C,2,FALSE),"")</x:f>
      </x:c>
      <x:c r="F442" s="65"/>
      <x:c r="G442" s="66"/>
      <x:c r="H442" s="66" t="n">
        <x:f>F442*G442</x:f>
        <x:v>0</x:v>
      </x:c>
      <x:c r="I442" s="50"/>
      <x:c r="J442" s="50"/>
      <x:c r="K442" s="50"/>
      <x:c r="L442" s="50"/>
      <x:c r="M442" s="50"/>
      <x:c r="N442" s="50"/>
      <x:c r="O442" s="50"/>
    </x:row>
    <x:row r="443">
      <x:c r="A443" s="50"/>
      <x:c r="B443" s="64"/>
      <x:c r="C443" s="50"/>
      <x:c r="D443" s="50"/>
      <x:c r="E443" s="50" t="str">
        <x:f>IFERROR(VLOOKUP(D443,Inventory!$B:$C,2,FALSE),"")</x:f>
      </x:c>
      <x:c r="F443" s="65"/>
      <x:c r="G443" s="66"/>
      <x:c r="H443" s="66" t="n">
        <x:f>F443*G443</x:f>
        <x:v>0</x:v>
      </x:c>
      <x:c r="I443" s="50"/>
      <x:c r="J443" s="50"/>
      <x:c r="K443" s="50"/>
      <x:c r="L443" s="50"/>
      <x:c r="M443" s="50"/>
      <x:c r="N443" s="50"/>
      <x:c r="O443" s="50"/>
    </x:row>
    <x:row r="444">
      <x:c r="A444" s="50"/>
      <x:c r="B444" s="64"/>
      <x:c r="C444" s="50"/>
      <x:c r="D444" s="50"/>
      <x:c r="E444" s="50" t="str">
        <x:f>IFERROR(VLOOKUP(D444,Inventory!$B:$C,2,FALSE),"")</x:f>
      </x:c>
      <x:c r="F444" s="65"/>
      <x:c r="G444" s="66"/>
      <x:c r="H444" s="66" t="n">
        <x:f>F444*G444</x:f>
        <x:v>0</x:v>
      </x:c>
      <x:c r="I444" s="50"/>
      <x:c r="J444" s="50"/>
      <x:c r="K444" s="50"/>
      <x:c r="L444" s="50"/>
      <x:c r="M444" s="50"/>
      <x:c r="N444" s="50"/>
      <x:c r="O444" s="50"/>
    </x:row>
    <x:row r="445">
      <x:c r="A445" s="50"/>
      <x:c r="B445" s="64"/>
      <x:c r="C445" s="50"/>
      <x:c r="D445" s="50"/>
      <x:c r="E445" s="50" t="str">
        <x:f>IFERROR(VLOOKUP(D445,Inventory!$B:$C,2,FALSE),"")</x:f>
      </x:c>
      <x:c r="F445" s="65"/>
      <x:c r="G445" s="66"/>
      <x:c r="H445" s="66" t="n">
        <x:f>F445*G445</x:f>
        <x:v>0</x:v>
      </x:c>
      <x:c r="I445" s="50"/>
      <x:c r="J445" s="50"/>
      <x:c r="K445" s="50"/>
      <x:c r="L445" s="50"/>
      <x:c r="M445" s="50"/>
      <x:c r="N445" s="50"/>
      <x:c r="O445" s="50"/>
    </x:row>
    <x:row r="446">
      <x:c r="A446" s="50"/>
      <x:c r="B446" s="64"/>
      <x:c r="C446" s="50"/>
      <x:c r="D446" s="50"/>
      <x:c r="E446" s="50" t="str">
        <x:f>IFERROR(VLOOKUP(D446,Inventory!$B:$C,2,FALSE),"")</x:f>
      </x:c>
      <x:c r="F446" s="65"/>
      <x:c r="G446" s="66"/>
      <x:c r="H446" s="66" t="n">
        <x:f>F446*G446</x:f>
        <x:v>0</x:v>
      </x:c>
      <x:c r="I446" s="50"/>
      <x:c r="J446" s="50"/>
      <x:c r="K446" s="50"/>
      <x:c r="L446" s="50"/>
      <x:c r="M446" s="50"/>
      <x:c r="N446" s="50"/>
      <x:c r="O446" s="50"/>
    </x:row>
    <x:row r="447">
      <x:c r="A447" s="50"/>
      <x:c r="B447" s="64"/>
      <x:c r="C447" s="50"/>
      <x:c r="D447" s="50"/>
      <x:c r="E447" s="50" t="str">
        <x:f>IFERROR(VLOOKUP(D447,Inventory!$B:$C,2,FALSE),"")</x:f>
      </x:c>
      <x:c r="F447" s="65"/>
      <x:c r="G447" s="66"/>
      <x:c r="H447" s="66" t="n">
        <x:f>F447*G447</x:f>
        <x:v>0</x:v>
      </x:c>
      <x:c r="I447" s="50"/>
      <x:c r="J447" s="50"/>
      <x:c r="K447" s="50"/>
      <x:c r="L447" s="50"/>
      <x:c r="M447" s="50"/>
      <x:c r="N447" s="50"/>
      <x:c r="O447" s="50"/>
    </x:row>
    <x:row r="448">
      <x:c r="A448" s="50"/>
      <x:c r="B448" s="64"/>
      <x:c r="C448" s="50"/>
      <x:c r="D448" s="50"/>
      <x:c r="E448" s="50" t="str">
        <x:f>IFERROR(VLOOKUP(D448,Inventory!$B:$C,2,FALSE),"")</x:f>
      </x:c>
      <x:c r="F448" s="65"/>
      <x:c r="G448" s="66"/>
      <x:c r="H448" s="66" t="n">
        <x:f>F448*G448</x:f>
        <x:v>0</x:v>
      </x:c>
      <x:c r="I448" s="50"/>
      <x:c r="J448" s="50"/>
      <x:c r="K448" s="50"/>
      <x:c r="L448" s="50"/>
      <x:c r="M448" s="50"/>
      <x:c r="N448" s="50"/>
      <x:c r="O448" s="50"/>
    </x:row>
    <x:row r="449">
      <x:c r="A449" s="50"/>
      <x:c r="B449" s="64"/>
      <x:c r="C449" s="50"/>
      <x:c r="D449" s="50"/>
      <x:c r="E449" s="50" t="str">
        <x:f>IFERROR(VLOOKUP(D449,Inventory!$B:$C,2,FALSE),"")</x:f>
      </x:c>
      <x:c r="F449" s="65"/>
      <x:c r="G449" s="66"/>
      <x:c r="H449" s="66" t="n">
        <x:f>F449*G449</x:f>
        <x:v>0</x:v>
      </x:c>
      <x:c r="I449" s="50"/>
      <x:c r="J449" s="50"/>
      <x:c r="K449" s="50"/>
      <x:c r="L449" s="50"/>
      <x:c r="M449" s="50"/>
      <x:c r="N449" s="50"/>
      <x:c r="O449" s="50"/>
    </x:row>
    <x:row r="450">
      <x:c r="A450" s="50"/>
      <x:c r="B450" s="64"/>
      <x:c r="C450" s="50"/>
      <x:c r="D450" s="50"/>
      <x:c r="E450" s="50" t="str">
        <x:f>IFERROR(VLOOKUP(D450,Inventory!$B:$C,2,FALSE),"")</x:f>
      </x:c>
      <x:c r="F450" s="65"/>
      <x:c r="G450" s="66"/>
      <x:c r="H450" s="66" t="n">
        <x:f>F450*G450</x:f>
        <x:v>0</x:v>
      </x:c>
      <x:c r="I450" s="50"/>
      <x:c r="J450" s="50"/>
      <x:c r="K450" s="50"/>
      <x:c r="L450" s="50"/>
      <x:c r="M450" s="50"/>
      <x:c r="N450" s="50"/>
      <x:c r="O450" s="50"/>
    </x:row>
    <x:row r="451">
      <x:c r="A451" s="50"/>
      <x:c r="B451" s="64"/>
      <x:c r="C451" s="50"/>
      <x:c r="D451" s="50"/>
      <x:c r="E451" s="50" t="str">
        <x:f>IFERROR(VLOOKUP(D451,Inventory!$B:$C,2,FALSE),"")</x:f>
      </x:c>
      <x:c r="F451" s="65"/>
      <x:c r="G451" s="66"/>
      <x:c r="H451" s="66" t="n">
        <x:f>F451*G451</x:f>
        <x:v>0</x:v>
      </x:c>
      <x:c r="I451" s="50"/>
      <x:c r="J451" s="50"/>
      <x:c r="K451" s="50"/>
      <x:c r="L451" s="50"/>
      <x:c r="M451" s="50"/>
      <x:c r="N451" s="50"/>
      <x:c r="O451" s="50"/>
    </x:row>
    <x:row r="452">
      <x:c r="A452" s="50"/>
      <x:c r="B452" s="64"/>
      <x:c r="C452" s="50"/>
      <x:c r="D452" s="50"/>
      <x:c r="E452" s="50" t="str">
        <x:f>IFERROR(VLOOKUP(D452,Inventory!$B:$C,2,FALSE),"")</x:f>
      </x:c>
      <x:c r="F452" s="65"/>
      <x:c r="G452" s="66"/>
      <x:c r="H452" s="66" t="n">
        <x:f>F452*G452</x:f>
        <x:v>0</x:v>
      </x:c>
      <x:c r="I452" s="50"/>
      <x:c r="J452" s="50"/>
      <x:c r="K452" s="50"/>
      <x:c r="L452" s="50"/>
      <x:c r="M452" s="50"/>
      <x:c r="N452" s="50"/>
      <x:c r="O452" s="50"/>
    </x:row>
    <x:row r="453">
      <x:c r="A453" s="50"/>
      <x:c r="B453" s="64"/>
      <x:c r="C453" s="50"/>
      <x:c r="D453" s="50"/>
      <x:c r="E453" s="50" t="str">
        <x:f>IFERROR(VLOOKUP(D453,Inventory!$B:$C,2,FALSE),"")</x:f>
      </x:c>
      <x:c r="F453" s="65"/>
      <x:c r="G453" s="66"/>
      <x:c r="H453" s="66" t="n">
        <x:f>F453*G453</x:f>
        <x:v>0</x:v>
      </x:c>
      <x:c r="I453" s="50"/>
      <x:c r="J453" s="50"/>
      <x:c r="K453" s="50"/>
      <x:c r="L453" s="50"/>
      <x:c r="M453" s="50"/>
      <x:c r="N453" s="50"/>
      <x:c r="O453" s="50"/>
    </x:row>
    <x:row r="454">
      <x:c r="A454" s="50"/>
      <x:c r="B454" s="64"/>
      <x:c r="C454" s="50"/>
      <x:c r="D454" s="50"/>
      <x:c r="E454" s="50" t="str">
        <x:f>IFERROR(VLOOKUP(D454,Inventory!$B:$C,2,FALSE),"")</x:f>
      </x:c>
      <x:c r="F454" s="65"/>
      <x:c r="G454" s="66"/>
      <x:c r="H454" s="66" t="n">
        <x:f>F454*G454</x:f>
        <x:v>0</x:v>
      </x:c>
      <x:c r="I454" s="50"/>
      <x:c r="J454" s="50"/>
      <x:c r="K454" s="50"/>
      <x:c r="L454" s="50"/>
      <x:c r="M454" s="50"/>
      <x:c r="N454" s="50"/>
      <x:c r="O454" s="50"/>
    </x:row>
    <x:row r="455">
      <x:c r="A455" s="50"/>
      <x:c r="B455" s="64"/>
      <x:c r="C455" s="50"/>
      <x:c r="D455" s="50"/>
      <x:c r="E455" s="50" t="str">
        <x:f>IFERROR(VLOOKUP(D455,Inventory!$B:$C,2,FALSE),"")</x:f>
      </x:c>
      <x:c r="F455" s="65"/>
      <x:c r="G455" s="66"/>
      <x:c r="H455" s="66" t="n">
        <x:f>F455*G455</x:f>
        <x:v>0</x:v>
      </x:c>
      <x:c r="I455" s="50"/>
      <x:c r="J455" s="50"/>
      <x:c r="K455" s="50"/>
      <x:c r="L455" s="50"/>
      <x:c r="M455" s="50"/>
      <x:c r="N455" s="50"/>
      <x:c r="O455" s="50"/>
    </x:row>
    <x:row r="456">
      <x:c r="A456" s="50"/>
      <x:c r="B456" s="64"/>
      <x:c r="C456" s="50"/>
      <x:c r="D456" s="50"/>
      <x:c r="E456" s="50" t="str">
        <x:f>IFERROR(VLOOKUP(D456,Inventory!$B:$C,2,FALSE),"")</x:f>
      </x:c>
      <x:c r="F456" s="65"/>
      <x:c r="G456" s="66"/>
      <x:c r="H456" s="66" t="n">
        <x:f>F456*G456</x:f>
        <x:v>0</x:v>
      </x:c>
      <x:c r="I456" s="50"/>
      <x:c r="J456" s="50"/>
      <x:c r="K456" s="50"/>
      <x:c r="L456" s="50"/>
      <x:c r="M456" s="50"/>
      <x:c r="N456" s="50"/>
      <x:c r="O456" s="50"/>
    </x:row>
    <x:row r="457">
      <x:c r="A457" s="50"/>
      <x:c r="B457" s="64"/>
      <x:c r="C457" s="50"/>
      <x:c r="D457" s="50"/>
      <x:c r="E457" s="50" t="str">
        <x:f>IFERROR(VLOOKUP(D457,Inventory!$B:$C,2,FALSE),"")</x:f>
      </x:c>
      <x:c r="F457" s="65"/>
      <x:c r="G457" s="66"/>
      <x:c r="H457" s="66" t="n">
        <x:f>F457*G457</x:f>
        <x:v>0</x:v>
      </x:c>
      <x:c r="I457" s="50"/>
      <x:c r="J457" s="50"/>
      <x:c r="K457" s="50"/>
      <x:c r="L457" s="50"/>
      <x:c r="M457" s="50"/>
      <x:c r="N457" s="50"/>
      <x:c r="O457" s="50"/>
    </x:row>
    <x:row r="458">
      <x:c r="A458" s="50"/>
      <x:c r="B458" s="64"/>
      <x:c r="C458" s="50"/>
      <x:c r="D458" s="50"/>
      <x:c r="E458" s="50" t="str">
        <x:f>IFERROR(VLOOKUP(D458,Inventory!$B:$C,2,FALSE),"")</x:f>
      </x:c>
      <x:c r="F458" s="65"/>
      <x:c r="G458" s="66"/>
      <x:c r="H458" s="66" t="n">
        <x:f>F458*G458</x:f>
        <x:v>0</x:v>
      </x:c>
      <x:c r="I458" s="50"/>
      <x:c r="J458" s="50"/>
      <x:c r="K458" s="50"/>
      <x:c r="L458" s="50"/>
      <x:c r="M458" s="50"/>
      <x:c r="N458" s="50"/>
      <x:c r="O458" s="50"/>
    </x:row>
    <x:row r="459">
      <x:c r="A459" s="50"/>
      <x:c r="B459" s="64"/>
      <x:c r="C459" s="50"/>
      <x:c r="D459" s="50"/>
      <x:c r="E459" s="50" t="str">
        <x:f>IFERROR(VLOOKUP(D459,Inventory!$B:$C,2,FALSE),"")</x:f>
      </x:c>
      <x:c r="F459" s="65"/>
      <x:c r="G459" s="66"/>
      <x:c r="H459" s="66" t="n">
        <x:f>F459*G459</x:f>
        <x:v>0</x:v>
      </x:c>
      <x:c r="I459" s="50"/>
      <x:c r="J459" s="50"/>
      <x:c r="K459" s="50"/>
      <x:c r="L459" s="50"/>
      <x:c r="M459" s="50"/>
      <x:c r="N459" s="50"/>
      <x:c r="O459" s="50"/>
    </x:row>
    <x:row r="460">
      <x:c r="A460" s="50"/>
      <x:c r="B460" s="64"/>
      <x:c r="C460" s="50"/>
      <x:c r="D460" s="50"/>
      <x:c r="E460" s="50" t="str">
        <x:f>IFERROR(VLOOKUP(D460,Inventory!$B:$C,2,FALSE),"")</x:f>
      </x:c>
      <x:c r="F460" s="65"/>
      <x:c r="G460" s="66"/>
      <x:c r="H460" s="66" t="n">
        <x:f>F460*G460</x:f>
        <x:v>0</x:v>
      </x:c>
      <x:c r="I460" s="50"/>
      <x:c r="J460" s="50"/>
      <x:c r="K460" s="50"/>
      <x:c r="L460" s="50"/>
      <x:c r="M460" s="50"/>
      <x:c r="N460" s="50"/>
      <x:c r="O460" s="50"/>
    </x:row>
    <x:row r="461">
      <x:c r="A461" s="50"/>
      <x:c r="B461" s="64"/>
      <x:c r="C461" s="50"/>
      <x:c r="D461" s="50"/>
      <x:c r="E461" s="50" t="str">
        <x:f>IFERROR(VLOOKUP(D461,Inventory!$B:$C,2,FALSE),"")</x:f>
      </x:c>
      <x:c r="F461" s="65"/>
      <x:c r="G461" s="66"/>
      <x:c r="H461" s="66" t="n">
        <x:f>F461*G461</x:f>
        <x:v>0</x:v>
      </x:c>
      <x:c r="I461" s="50"/>
      <x:c r="J461" s="50"/>
      <x:c r="K461" s="50"/>
      <x:c r="L461" s="50"/>
      <x:c r="M461" s="50"/>
      <x:c r="N461" s="50"/>
      <x:c r="O461" s="50"/>
    </x:row>
    <x:row r="462">
      <x:c r="A462" s="50"/>
      <x:c r="B462" s="64"/>
      <x:c r="C462" s="50"/>
      <x:c r="D462" s="50"/>
      <x:c r="E462" s="50" t="str">
        <x:f>IFERROR(VLOOKUP(D462,Inventory!$B:$C,2,FALSE),"")</x:f>
      </x:c>
      <x:c r="F462" s="65"/>
      <x:c r="G462" s="66"/>
      <x:c r="H462" s="66" t="n">
        <x:f>F462*G462</x:f>
        <x:v>0</x:v>
      </x:c>
      <x:c r="I462" s="50"/>
      <x:c r="J462" s="50"/>
      <x:c r="K462" s="50"/>
      <x:c r="L462" s="50"/>
      <x:c r="M462" s="50"/>
      <x:c r="N462" s="50"/>
      <x:c r="O462" s="50"/>
    </x:row>
    <x:row r="463">
      <x:c r="A463" s="50"/>
      <x:c r="B463" s="64"/>
      <x:c r="C463" s="50"/>
      <x:c r="D463" s="50"/>
      <x:c r="E463" s="50" t="str">
        <x:f>IFERROR(VLOOKUP(D463,Inventory!$B:$C,2,FALSE),"")</x:f>
      </x:c>
      <x:c r="F463" s="65"/>
      <x:c r="G463" s="66"/>
      <x:c r="H463" s="66" t="n">
        <x:f>F463*G463</x:f>
        <x:v>0</x:v>
      </x:c>
      <x:c r="I463" s="50"/>
      <x:c r="J463" s="50"/>
      <x:c r="K463" s="50"/>
      <x:c r="L463" s="50"/>
      <x:c r="M463" s="50"/>
      <x:c r="N463" s="50"/>
      <x:c r="O463" s="50"/>
    </x:row>
    <x:row r="464">
      <x:c r="A464" s="50"/>
      <x:c r="B464" s="64"/>
      <x:c r="C464" s="50"/>
      <x:c r="D464" s="50"/>
      <x:c r="E464" s="50" t="str">
        <x:f>IFERROR(VLOOKUP(D464,Inventory!$B:$C,2,FALSE),"")</x:f>
      </x:c>
      <x:c r="F464" s="65"/>
      <x:c r="G464" s="66"/>
      <x:c r="H464" s="66" t="n">
        <x:f>F464*G464</x:f>
        <x:v>0</x:v>
      </x:c>
      <x:c r="I464" s="50"/>
      <x:c r="J464" s="50"/>
      <x:c r="K464" s="50"/>
      <x:c r="L464" s="50"/>
      <x:c r="M464" s="50"/>
      <x:c r="N464" s="50"/>
      <x:c r="O464" s="50"/>
    </x:row>
    <x:row r="465">
      <x:c r="A465" s="50"/>
      <x:c r="B465" s="64"/>
      <x:c r="C465" s="50"/>
      <x:c r="D465" s="50"/>
      <x:c r="E465" s="50" t="str">
        <x:f>IFERROR(VLOOKUP(D465,Inventory!$B:$C,2,FALSE),"")</x:f>
      </x:c>
      <x:c r="F465" s="65"/>
      <x:c r="G465" s="66"/>
      <x:c r="H465" s="66" t="n">
        <x:f>F465*G465</x:f>
        <x:v>0</x:v>
      </x:c>
      <x:c r="I465" s="50"/>
      <x:c r="J465" s="50"/>
      <x:c r="K465" s="50"/>
      <x:c r="L465" s="50"/>
      <x:c r="M465" s="50"/>
      <x:c r="N465" s="50"/>
      <x:c r="O465" s="50"/>
    </x:row>
    <x:row r="466">
      <x:c r="A466" s="50"/>
      <x:c r="B466" s="64"/>
      <x:c r="C466" s="50"/>
      <x:c r="D466" s="50"/>
      <x:c r="E466" s="50" t="str">
        <x:f>IFERROR(VLOOKUP(D466,Inventory!$B:$C,2,FALSE),"")</x:f>
      </x:c>
      <x:c r="F466" s="65"/>
      <x:c r="G466" s="66"/>
      <x:c r="H466" s="66" t="n">
        <x:f>F466*G466</x:f>
        <x:v>0</x:v>
      </x:c>
      <x:c r="I466" s="50"/>
      <x:c r="J466" s="50"/>
      <x:c r="K466" s="50"/>
      <x:c r="L466" s="50"/>
      <x:c r="M466" s="50"/>
      <x:c r="N466" s="50"/>
      <x:c r="O466" s="50"/>
    </x:row>
    <x:row r="467">
      <x:c r="A467" s="50"/>
      <x:c r="B467" s="64"/>
      <x:c r="C467" s="50"/>
      <x:c r="D467" s="50"/>
      <x:c r="E467" s="50" t="str">
        <x:f>IFERROR(VLOOKUP(D467,Inventory!$B:$C,2,FALSE),"")</x:f>
      </x:c>
      <x:c r="F467" s="65"/>
      <x:c r="G467" s="66"/>
      <x:c r="H467" s="66" t="n">
        <x:f>F467*G467</x:f>
        <x:v>0</x:v>
      </x:c>
      <x:c r="I467" s="50"/>
      <x:c r="J467" s="50"/>
      <x:c r="K467" s="50"/>
      <x:c r="L467" s="50"/>
      <x:c r="M467" s="50"/>
      <x:c r="N467" s="50"/>
      <x:c r="O467" s="50"/>
    </x:row>
    <x:row r="468">
      <x:c r="A468" s="50"/>
      <x:c r="B468" s="64"/>
      <x:c r="C468" s="50"/>
      <x:c r="D468" s="50"/>
      <x:c r="E468" s="50" t="str">
        <x:f>IFERROR(VLOOKUP(D468,Inventory!$B:$C,2,FALSE),"")</x:f>
      </x:c>
      <x:c r="F468" s="65"/>
      <x:c r="G468" s="66"/>
      <x:c r="H468" s="66" t="n">
        <x:f>F468*G468</x:f>
        <x:v>0</x:v>
      </x:c>
      <x:c r="I468" s="50"/>
      <x:c r="J468" s="50"/>
      <x:c r="K468" s="50"/>
      <x:c r="L468" s="50"/>
      <x:c r="M468" s="50"/>
      <x:c r="N468" s="50"/>
      <x:c r="O468" s="50"/>
    </x:row>
    <x:row r="469">
      <x:c r="A469" s="50"/>
      <x:c r="B469" s="64"/>
      <x:c r="C469" s="50"/>
      <x:c r="D469" s="50"/>
      <x:c r="E469" s="50" t="str">
        <x:f>IFERROR(VLOOKUP(D469,Inventory!$B:$C,2,FALSE),"")</x:f>
      </x:c>
      <x:c r="F469" s="65"/>
      <x:c r="G469" s="66"/>
      <x:c r="H469" s="66" t="n">
        <x:f>F469*G469</x:f>
        <x:v>0</x:v>
      </x:c>
      <x:c r="I469" s="50"/>
      <x:c r="J469" s="50"/>
      <x:c r="K469" s="50"/>
      <x:c r="L469" s="50"/>
      <x:c r="M469" s="50"/>
      <x:c r="N469" s="50"/>
      <x:c r="O469" s="50"/>
    </x:row>
    <x:row r="470">
      <x:c r="A470" s="50"/>
      <x:c r="B470" s="64"/>
      <x:c r="C470" s="50"/>
      <x:c r="D470" s="50"/>
      <x:c r="E470" s="50" t="str">
        <x:f>IFERROR(VLOOKUP(D470,Inventory!$B:$C,2,FALSE),"")</x:f>
      </x:c>
      <x:c r="F470" s="65"/>
      <x:c r="G470" s="66"/>
      <x:c r="H470" s="66" t="n">
        <x:f>F470*G470</x:f>
        <x:v>0</x:v>
      </x:c>
      <x:c r="I470" s="50"/>
      <x:c r="J470" s="50"/>
      <x:c r="K470" s="50"/>
      <x:c r="L470" s="50"/>
      <x:c r="M470" s="50"/>
      <x:c r="N470" s="50"/>
      <x:c r="O470" s="50"/>
    </x:row>
    <x:row r="471">
      <x:c r="A471" s="50"/>
      <x:c r="B471" s="64"/>
      <x:c r="C471" s="50"/>
      <x:c r="D471" s="50"/>
      <x:c r="E471" s="50" t="str">
        <x:f>IFERROR(VLOOKUP(D471,Inventory!$B:$C,2,FALSE),"")</x:f>
      </x:c>
      <x:c r="F471" s="65"/>
      <x:c r="G471" s="66"/>
      <x:c r="H471" s="66" t="n">
        <x:f>F471*G471</x:f>
        <x:v>0</x:v>
      </x:c>
      <x:c r="I471" s="50"/>
      <x:c r="J471" s="50"/>
      <x:c r="K471" s="50"/>
      <x:c r="L471" s="50"/>
      <x:c r="M471" s="50"/>
      <x:c r="N471" s="50"/>
      <x:c r="O471" s="50"/>
    </x:row>
    <x:row r="472">
      <x:c r="A472" s="50"/>
      <x:c r="B472" s="64"/>
      <x:c r="C472" s="50"/>
      <x:c r="D472" s="50"/>
      <x:c r="E472" s="50" t="str">
        <x:f>IFERROR(VLOOKUP(D472,Inventory!$B:$C,2,FALSE),"")</x:f>
      </x:c>
      <x:c r="F472" s="65"/>
      <x:c r="G472" s="66"/>
      <x:c r="H472" s="66" t="n">
        <x:f>F472*G472</x:f>
        <x:v>0</x:v>
      </x:c>
      <x:c r="I472" s="50"/>
      <x:c r="J472" s="50"/>
      <x:c r="K472" s="50"/>
      <x:c r="L472" s="50"/>
      <x:c r="M472" s="50"/>
      <x:c r="N472" s="50"/>
      <x:c r="O472" s="50"/>
    </x:row>
    <x:row r="473">
      <x:c r="A473" s="50"/>
      <x:c r="B473" s="64"/>
      <x:c r="C473" s="50"/>
      <x:c r="D473" s="50"/>
      <x:c r="E473" s="50" t="str">
        <x:f>IFERROR(VLOOKUP(D473,Inventory!$B:$C,2,FALSE),"")</x:f>
      </x:c>
      <x:c r="F473" s="65"/>
      <x:c r="G473" s="66"/>
      <x:c r="H473" s="66" t="n">
        <x:f>F473*G473</x:f>
        <x:v>0</x:v>
      </x:c>
      <x:c r="I473" s="50"/>
      <x:c r="J473" s="50"/>
      <x:c r="K473" s="50"/>
      <x:c r="L473" s="50"/>
      <x:c r="M473" s="50"/>
      <x:c r="N473" s="50"/>
      <x:c r="O473" s="50"/>
    </x:row>
    <x:row r="474">
      <x:c r="A474" s="50"/>
      <x:c r="B474" s="64"/>
      <x:c r="C474" s="50"/>
      <x:c r="D474" s="50"/>
      <x:c r="E474" s="50" t="str">
        <x:f>IFERROR(VLOOKUP(D474,Inventory!$B:$C,2,FALSE),"")</x:f>
      </x:c>
      <x:c r="F474" s="65"/>
      <x:c r="G474" s="66"/>
      <x:c r="H474" s="66" t="n">
        <x:f>F474*G474</x:f>
        <x:v>0</x:v>
      </x:c>
      <x:c r="I474" s="50"/>
      <x:c r="J474" s="50"/>
      <x:c r="K474" s="50"/>
      <x:c r="L474" s="50"/>
      <x:c r="M474" s="50"/>
      <x:c r="N474" s="50"/>
      <x:c r="O474" s="50"/>
    </x:row>
    <x:row r="475">
      <x:c r="A475" s="50"/>
      <x:c r="B475" s="64"/>
      <x:c r="C475" s="50"/>
      <x:c r="D475" s="50"/>
      <x:c r="E475" s="50" t="str">
        <x:f>IFERROR(VLOOKUP(D475,Inventory!$B:$C,2,FALSE),"")</x:f>
      </x:c>
      <x:c r="F475" s="65"/>
      <x:c r="G475" s="66"/>
      <x:c r="H475" s="66" t="n">
        <x:f>F475*G475</x:f>
        <x:v>0</x:v>
      </x:c>
      <x:c r="I475" s="50"/>
      <x:c r="J475" s="50"/>
      <x:c r="K475" s="50"/>
      <x:c r="L475" s="50"/>
      <x:c r="M475" s="50"/>
      <x:c r="N475" s="50"/>
      <x:c r="O475" s="50"/>
    </x:row>
    <x:row r="476">
      <x:c r="A476" s="50"/>
      <x:c r="B476" s="64"/>
      <x:c r="C476" s="50"/>
      <x:c r="D476" s="50"/>
      <x:c r="E476" s="50" t="str">
        <x:f>IFERROR(VLOOKUP(D476,Inventory!$B:$C,2,FALSE),"")</x:f>
      </x:c>
      <x:c r="F476" s="65"/>
      <x:c r="G476" s="66"/>
      <x:c r="H476" s="66" t="n">
        <x:f>F476*G476</x:f>
        <x:v>0</x:v>
      </x:c>
      <x:c r="I476" s="50"/>
      <x:c r="J476" s="50"/>
      <x:c r="K476" s="50"/>
      <x:c r="L476" s="50"/>
      <x:c r="M476" s="50"/>
      <x:c r="N476" s="50"/>
      <x:c r="O476" s="50"/>
    </x:row>
    <x:row r="477">
      <x:c r="A477" s="50"/>
      <x:c r="B477" s="64"/>
      <x:c r="C477" s="50"/>
      <x:c r="D477" s="50"/>
      <x:c r="E477" s="50" t="str">
        <x:f>IFERROR(VLOOKUP(D477,Inventory!$B:$C,2,FALSE),"")</x:f>
      </x:c>
      <x:c r="F477" s="65"/>
      <x:c r="G477" s="66"/>
      <x:c r="H477" s="66" t="n">
        <x:f>F477*G477</x:f>
        <x:v>0</x:v>
      </x:c>
      <x:c r="I477" s="50"/>
      <x:c r="J477" s="50"/>
      <x:c r="K477" s="50"/>
      <x:c r="L477" s="50"/>
      <x:c r="M477" s="50"/>
      <x:c r="N477" s="50"/>
      <x:c r="O477" s="50"/>
    </x:row>
    <x:row r="478">
      <x:c r="A478" s="50"/>
      <x:c r="B478" s="64"/>
      <x:c r="C478" s="50"/>
      <x:c r="D478" s="50"/>
      <x:c r="E478" s="50" t="str">
        <x:f>IFERROR(VLOOKUP(D478,Inventory!$B:$C,2,FALSE),"")</x:f>
      </x:c>
      <x:c r="F478" s="65"/>
      <x:c r="G478" s="66"/>
      <x:c r="H478" s="66" t="n">
        <x:f>F478*G478</x:f>
        <x:v>0</x:v>
      </x:c>
      <x:c r="I478" s="50"/>
      <x:c r="J478" s="50"/>
      <x:c r="K478" s="50"/>
      <x:c r="L478" s="50"/>
      <x:c r="M478" s="50"/>
      <x:c r="N478" s="50"/>
      <x:c r="O478" s="50"/>
    </x:row>
    <x:row r="479">
      <x:c r="A479" s="50"/>
      <x:c r="B479" s="64"/>
      <x:c r="C479" s="50"/>
      <x:c r="D479" s="50"/>
      <x:c r="E479" s="50" t="str">
        <x:f>IFERROR(VLOOKUP(D479,Inventory!$B:$C,2,FALSE),"")</x:f>
      </x:c>
      <x:c r="F479" s="65"/>
      <x:c r="G479" s="66"/>
      <x:c r="H479" s="66" t="n">
        <x:f>F479*G479</x:f>
        <x:v>0</x:v>
      </x:c>
      <x:c r="I479" s="50"/>
      <x:c r="J479" s="50"/>
      <x:c r="K479" s="50"/>
      <x:c r="L479" s="50"/>
      <x:c r="M479" s="50"/>
      <x:c r="N479" s="50"/>
      <x:c r="O479" s="50"/>
    </x:row>
    <x:row r="480">
      <x:c r="A480" s="50"/>
      <x:c r="B480" s="64"/>
      <x:c r="C480" s="50"/>
      <x:c r="D480" s="50"/>
      <x:c r="E480" s="50" t="str">
        <x:f>IFERROR(VLOOKUP(D480,Inventory!$B:$C,2,FALSE),"")</x:f>
      </x:c>
      <x:c r="F480" s="65"/>
      <x:c r="G480" s="66"/>
      <x:c r="H480" s="66" t="n">
        <x:f>F480*G480</x:f>
        <x:v>0</x:v>
      </x:c>
      <x:c r="I480" s="50"/>
      <x:c r="J480" s="50"/>
      <x:c r="K480" s="50"/>
      <x:c r="L480" s="50"/>
      <x:c r="M480" s="50"/>
      <x:c r="N480" s="50"/>
      <x:c r="O480" s="50"/>
    </x:row>
    <x:row r="481">
      <x:c r="A481" s="50"/>
      <x:c r="B481" s="64"/>
      <x:c r="C481" s="50"/>
      <x:c r="D481" s="50"/>
      <x:c r="E481" s="50" t="str">
        <x:f>IFERROR(VLOOKUP(D481,Inventory!$B:$C,2,FALSE),"")</x:f>
      </x:c>
      <x:c r="F481" s="65"/>
      <x:c r="G481" s="66"/>
      <x:c r="H481" s="66" t="n">
        <x:f>F481*G481</x:f>
        <x:v>0</x:v>
      </x:c>
      <x:c r="I481" s="50"/>
      <x:c r="J481" s="50"/>
      <x:c r="K481" s="50"/>
      <x:c r="L481" s="50"/>
      <x:c r="M481" s="50"/>
      <x:c r="N481" s="50"/>
      <x:c r="O481" s="50"/>
    </x:row>
    <x:row r="482">
      <x:c r="A482" s="50"/>
      <x:c r="B482" s="64"/>
      <x:c r="C482" s="50"/>
      <x:c r="D482" s="50"/>
      <x:c r="E482" s="50" t="str">
        <x:f>IFERROR(VLOOKUP(D482,Inventory!$B:$C,2,FALSE),"")</x:f>
      </x:c>
      <x:c r="F482" s="65"/>
      <x:c r="G482" s="66"/>
      <x:c r="H482" s="66" t="n">
        <x:f>F482*G482</x:f>
        <x:v>0</x:v>
      </x:c>
      <x:c r="I482" s="50"/>
      <x:c r="J482" s="50"/>
      <x:c r="K482" s="50"/>
      <x:c r="L482" s="50"/>
      <x:c r="M482" s="50"/>
      <x:c r="N482" s="50"/>
      <x:c r="O482" s="50"/>
    </x:row>
    <x:row r="483">
      <x:c r="A483" s="50"/>
      <x:c r="B483" s="64"/>
      <x:c r="C483" s="50"/>
      <x:c r="D483" s="50"/>
      <x:c r="E483" s="50" t="str">
        <x:f>IFERROR(VLOOKUP(D483,Inventory!$B:$C,2,FALSE),"")</x:f>
      </x:c>
      <x:c r="F483" s="65"/>
      <x:c r="G483" s="66"/>
      <x:c r="H483" s="66" t="n">
        <x:f>F483*G483</x:f>
        <x:v>0</x:v>
      </x:c>
      <x:c r="I483" s="50"/>
      <x:c r="J483" s="50"/>
      <x:c r="K483" s="50"/>
      <x:c r="L483" s="50"/>
      <x:c r="M483" s="50"/>
      <x:c r="N483" s="50"/>
      <x:c r="O483" s="50"/>
    </x:row>
    <x:row r="484">
      <x:c r="A484" s="50"/>
      <x:c r="B484" s="64"/>
      <x:c r="C484" s="50"/>
      <x:c r="D484" s="50"/>
      <x:c r="E484" s="50" t="str">
        <x:f>IFERROR(VLOOKUP(D484,Inventory!$B:$C,2,FALSE),"")</x:f>
      </x:c>
      <x:c r="F484" s="65"/>
      <x:c r="G484" s="66"/>
      <x:c r="H484" s="66" t="n">
        <x:f>F484*G484</x:f>
        <x:v>0</x:v>
      </x:c>
      <x:c r="I484" s="50"/>
      <x:c r="J484" s="50"/>
      <x:c r="K484" s="50"/>
      <x:c r="L484" s="50"/>
      <x:c r="M484" s="50"/>
      <x:c r="N484" s="50"/>
      <x:c r="O484" s="50"/>
    </x:row>
    <x:row r="485">
      <x:c r="A485" s="50"/>
      <x:c r="B485" s="64"/>
      <x:c r="C485" s="50"/>
      <x:c r="D485" s="50"/>
      <x:c r="E485" s="50" t="str">
        <x:f>IFERROR(VLOOKUP(D485,Inventory!$B:$C,2,FALSE),"")</x:f>
      </x:c>
      <x:c r="F485" s="65"/>
      <x:c r="G485" s="66"/>
      <x:c r="H485" s="66" t="n">
        <x:f>F485*G485</x:f>
        <x:v>0</x:v>
      </x:c>
      <x:c r="I485" s="50"/>
      <x:c r="J485" s="50"/>
      <x:c r="K485" s="50"/>
      <x:c r="L485" s="50"/>
      <x:c r="M485" s="50"/>
      <x:c r="N485" s="50"/>
      <x:c r="O485" s="50"/>
    </x:row>
    <x:row r="486">
      <x:c r="A486" s="50"/>
      <x:c r="B486" s="64"/>
      <x:c r="C486" s="50"/>
      <x:c r="D486" s="50"/>
      <x:c r="E486" s="50" t="str">
        <x:f>IFERROR(VLOOKUP(D486,Inventory!$B:$C,2,FALSE),"")</x:f>
      </x:c>
      <x:c r="F486" s="65"/>
      <x:c r="G486" s="66"/>
      <x:c r="H486" s="66" t="n">
        <x:f>F486*G486</x:f>
        <x:v>0</x:v>
      </x:c>
      <x:c r="I486" s="50"/>
      <x:c r="J486" s="50"/>
      <x:c r="K486" s="50"/>
      <x:c r="L486" s="50"/>
      <x:c r="M486" s="50"/>
      <x:c r="N486" s="50"/>
      <x:c r="O486" s="50"/>
    </x:row>
    <x:row r="487">
      <x:c r="A487" s="50"/>
      <x:c r="B487" s="64"/>
      <x:c r="C487" s="50"/>
      <x:c r="D487" s="50"/>
      <x:c r="E487" s="50" t="str">
        <x:f>IFERROR(VLOOKUP(D487,Inventory!$B:$C,2,FALSE),"")</x:f>
      </x:c>
      <x:c r="F487" s="65"/>
      <x:c r="G487" s="66"/>
      <x:c r="H487" s="66" t="n">
        <x:f>F487*G487</x:f>
        <x:v>0</x:v>
      </x:c>
      <x:c r="I487" s="50"/>
      <x:c r="J487" s="50"/>
      <x:c r="K487" s="50"/>
      <x:c r="L487" s="50"/>
      <x:c r="M487" s="50"/>
      <x:c r="N487" s="50"/>
      <x:c r="O487" s="50"/>
    </x:row>
    <x:row r="488">
      <x:c r="A488" s="50"/>
      <x:c r="B488" s="64"/>
      <x:c r="C488" s="50"/>
      <x:c r="D488" s="50"/>
      <x:c r="E488" s="50" t="str">
        <x:f>IFERROR(VLOOKUP(D488,Inventory!$B:$C,2,FALSE),"")</x:f>
      </x:c>
      <x:c r="F488" s="65"/>
      <x:c r="G488" s="66"/>
      <x:c r="H488" s="66" t="n">
        <x:f>F488*G488</x:f>
        <x:v>0</x:v>
      </x:c>
      <x:c r="I488" s="50"/>
      <x:c r="J488" s="50"/>
      <x:c r="K488" s="50"/>
      <x:c r="L488" s="50"/>
      <x:c r="M488" s="50"/>
      <x:c r="N488" s="50"/>
      <x:c r="O488" s="50"/>
    </x:row>
    <x:row r="489">
      <x:c r="A489" s="50"/>
      <x:c r="B489" s="64"/>
      <x:c r="C489" s="50"/>
      <x:c r="D489" s="50"/>
      <x:c r="E489" s="50" t="str">
        <x:f>IFERROR(VLOOKUP(D489,Inventory!$B:$C,2,FALSE),"")</x:f>
      </x:c>
      <x:c r="F489" s="65"/>
      <x:c r="G489" s="66"/>
      <x:c r="H489" s="66" t="n">
        <x:f>F489*G489</x:f>
        <x:v>0</x:v>
      </x:c>
      <x:c r="I489" s="50"/>
      <x:c r="J489" s="50"/>
      <x:c r="K489" s="50"/>
      <x:c r="L489" s="50"/>
      <x:c r="M489" s="50"/>
      <x:c r="N489" s="50"/>
      <x:c r="O489" s="50"/>
    </x:row>
    <x:row r="490">
      <x:c r="A490" s="50"/>
      <x:c r="B490" s="64"/>
      <x:c r="C490" s="50"/>
      <x:c r="D490" s="50"/>
      <x:c r="E490" s="50" t="str">
        <x:f>IFERROR(VLOOKUP(D490,Inventory!$B:$C,2,FALSE),"")</x:f>
      </x:c>
      <x:c r="F490" s="65"/>
      <x:c r="G490" s="66"/>
      <x:c r="H490" s="66" t="n">
        <x:f>F490*G490</x:f>
        <x:v>0</x:v>
      </x:c>
      <x:c r="I490" s="50"/>
      <x:c r="J490" s="50"/>
      <x:c r="K490" s="50"/>
      <x:c r="L490" s="50"/>
      <x:c r="M490" s="50"/>
      <x:c r="N490" s="50"/>
      <x:c r="O490" s="50"/>
    </x:row>
    <x:row r="491">
      <x:c r="A491" s="50"/>
      <x:c r="B491" s="64"/>
      <x:c r="C491" s="50"/>
      <x:c r="D491" s="50"/>
      <x:c r="E491" s="50" t="str">
        <x:f>IFERROR(VLOOKUP(D491,Inventory!$B:$C,2,FALSE),"")</x:f>
      </x:c>
      <x:c r="F491" s="65"/>
      <x:c r="G491" s="66"/>
      <x:c r="H491" s="66" t="n">
        <x:f>F491*G491</x:f>
        <x:v>0</x:v>
      </x:c>
      <x:c r="I491" s="50"/>
      <x:c r="J491" s="50"/>
      <x:c r="K491" s="50"/>
      <x:c r="L491" s="50"/>
      <x:c r="M491" s="50"/>
      <x:c r="N491" s="50"/>
      <x:c r="O491" s="50"/>
    </x:row>
    <x:row r="492">
      <x:c r="A492" s="50"/>
      <x:c r="B492" s="64"/>
      <x:c r="C492" s="50"/>
      <x:c r="D492" s="50"/>
      <x:c r="E492" s="50" t="str">
        <x:f>IFERROR(VLOOKUP(D492,Inventory!$B:$C,2,FALSE),"")</x:f>
      </x:c>
      <x:c r="F492" s="65"/>
      <x:c r="G492" s="66"/>
      <x:c r="H492" s="66" t="n">
        <x:f>F492*G492</x:f>
        <x:v>0</x:v>
      </x:c>
      <x:c r="I492" s="50"/>
      <x:c r="J492" s="50"/>
      <x:c r="K492" s="50"/>
      <x:c r="L492" s="50"/>
      <x:c r="M492" s="50"/>
      <x:c r="N492" s="50"/>
      <x:c r="O492" s="50"/>
    </x:row>
    <x:row r="493">
      <x:c r="A493" s="50"/>
      <x:c r="B493" s="64"/>
      <x:c r="C493" s="50"/>
      <x:c r="D493" s="50"/>
      <x:c r="E493" s="50" t="str">
        <x:f>IFERROR(VLOOKUP(D493,Inventory!$B:$C,2,FALSE),"")</x:f>
      </x:c>
      <x:c r="F493" s="65"/>
      <x:c r="G493" s="66"/>
      <x:c r="H493" s="66" t="n">
        <x:f>F493*G493</x:f>
        <x:v>0</x:v>
      </x:c>
      <x:c r="I493" s="50"/>
      <x:c r="J493" s="50"/>
      <x:c r="K493" s="50"/>
      <x:c r="L493" s="50"/>
      <x:c r="M493" s="50"/>
      <x:c r="N493" s="50"/>
      <x:c r="O493" s="50"/>
    </x:row>
    <x:row r="494">
      <x:c r="A494" s="50"/>
      <x:c r="B494" s="64"/>
      <x:c r="C494" s="50"/>
      <x:c r="D494" s="50"/>
      <x:c r="E494" s="50" t="str">
        <x:f>IFERROR(VLOOKUP(D494,Inventory!$B:$C,2,FALSE),"")</x:f>
      </x:c>
      <x:c r="F494" s="65"/>
      <x:c r="G494" s="66"/>
      <x:c r="H494" s="66" t="n">
        <x:f>F494*G494</x:f>
        <x:v>0</x:v>
      </x:c>
      <x:c r="I494" s="50"/>
      <x:c r="J494" s="50"/>
      <x:c r="K494" s="50"/>
      <x:c r="L494" s="50"/>
      <x:c r="M494" s="50"/>
      <x:c r="N494" s="50"/>
      <x:c r="O494" s="50"/>
    </x:row>
    <x:row r="495">
      <x:c r="A495" s="50"/>
      <x:c r="B495" s="64"/>
      <x:c r="C495" s="50"/>
      <x:c r="D495" s="50"/>
      <x:c r="E495" s="50" t="str">
        <x:f>IFERROR(VLOOKUP(D495,Inventory!$B:$C,2,FALSE),"")</x:f>
      </x:c>
      <x:c r="F495" s="65"/>
      <x:c r="G495" s="66"/>
      <x:c r="H495" s="66" t="n">
        <x:f>F495*G495</x:f>
        <x:v>0</x:v>
      </x:c>
      <x:c r="I495" s="50"/>
      <x:c r="J495" s="50"/>
      <x:c r="K495" s="50"/>
      <x:c r="L495" s="50"/>
      <x:c r="M495" s="50"/>
      <x:c r="N495" s="50"/>
      <x:c r="O495" s="50"/>
    </x:row>
    <x:row r="496">
      <x:c r="A496" s="50"/>
      <x:c r="B496" s="64"/>
      <x:c r="C496" s="50"/>
      <x:c r="D496" s="50"/>
      <x:c r="E496" s="50" t="str">
        <x:f>IFERROR(VLOOKUP(D496,Inventory!$B:$C,2,FALSE),"")</x:f>
      </x:c>
      <x:c r="F496" s="65"/>
      <x:c r="G496" s="66"/>
      <x:c r="H496" s="66" t="n">
        <x:f>F496*G496</x:f>
        <x:v>0</x:v>
      </x:c>
      <x:c r="I496" s="50"/>
      <x:c r="J496" s="50"/>
      <x:c r="K496" s="50"/>
      <x:c r="L496" s="50"/>
      <x:c r="M496" s="50"/>
      <x:c r="N496" s="50"/>
      <x:c r="O496" s="50"/>
    </x:row>
    <x:row r="497">
      <x:c r="A497" s="50"/>
      <x:c r="B497" s="64"/>
      <x:c r="C497" s="50"/>
      <x:c r="D497" s="50"/>
      <x:c r="E497" s="50" t="str">
        <x:f>IFERROR(VLOOKUP(D497,Inventory!$B:$C,2,FALSE),"")</x:f>
      </x:c>
      <x:c r="F497" s="65"/>
      <x:c r="G497" s="66"/>
      <x:c r="H497" s="66" t="n">
        <x:f>F497*G497</x:f>
        <x:v>0</x:v>
      </x:c>
      <x:c r="I497" s="50"/>
      <x:c r="J497" s="50"/>
      <x:c r="K497" s="50"/>
      <x:c r="L497" s="50"/>
      <x:c r="M497" s="50"/>
      <x:c r="N497" s="50"/>
      <x:c r="O497" s="50"/>
    </x:row>
    <x:row r="498">
      <x:c r="A498" s="50"/>
      <x:c r="B498" s="64"/>
      <x:c r="C498" s="50"/>
      <x:c r="D498" s="50"/>
      <x:c r="E498" s="50" t="str">
        <x:f>IFERROR(VLOOKUP(D498,Inventory!$B:$C,2,FALSE),"")</x:f>
      </x:c>
      <x:c r="F498" s="65"/>
      <x:c r="G498" s="66"/>
      <x:c r="H498" s="66" t="n">
        <x:f>F498*G498</x:f>
        <x:v>0</x:v>
      </x:c>
      <x:c r="I498" s="50"/>
      <x:c r="J498" s="50"/>
      <x:c r="K498" s="50"/>
      <x:c r="L498" s="50"/>
      <x:c r="M498" s="50"/>
      <x:c r="N498" s="50"/>
      <x:c r="O498" s="50"/>
    </x:row>
    <x:row r="499">
      <x:c r="A499" s="50"/>
      <x:c r="B499" s="64"/>
      <x:c r="C499" s="50"/>
      <x:c r="D499" s="50"/>
      <x:c r="E499" s="50" t="str">
        <x:f>IFERROR(VLOOKUP(D499,Inventory!$B:$C,2,FALSE),"")</x:f>
      </x:c>
      <x:c r="F499" s="65"/>
      <x:c r="G499" s="66"/>
      <x:c r="H499" s="66" t="n">
        <x:f>F499*G499</x:f>
        <x:v>0</x:v>
      </x:c>
      <x:c r="I499" s="50"/>
      <x:c r="J499" s="50"/>
      <x:c r="K499" s="50"/>
      <x:c r="L499" s="50"/>
      <x:c r="M499" s="50"/>
      <x:c r="N499" s="50"/>
      <x:c r="O499" s="50"/>
    </x:row>
    <x:row r="500">
      <x:c r="A500" s="50"/>
      <x:c r="B500" s="64"/>
      <x:c r="C500" s="50"/>
      <x:c r="D500" s="50"/>
      <x:c r="E500" s="50" t="str">
        <x:f>IFERROR(VLOOKUP(D500,Inventory!$B:$C,2,FALSE),"")</x:f>
      </x:c>
      <x:c r="F500" s="65"/>
      <x:c r="G500" s="66"/>
      <x:c r="H500" s="66" t="n">
        <x:f>F500*G500</x:f>
        <x:v>0</x:v>
      </x:c>
      <x:c r="I500" s="50"/>
      <x:c r="J500" s="50"/>
      <x:c r="K500" s="50"/>
      <x:c r="L500" s="50"/>
      <x:c r="M500" s="50"/>
      <x:c r="N500" s="50"/>
      <x:c r="O500" s="50"/>
    </x:row>
  </x:sheetData>
  <x:mergeCells>
    <x:mergeCell ref="A1:I1"/>
  </x:mergeCells>
  <x:dataValidations count="2">
    <x:dataValidation type="list" sqref="C4:C500">
      <x:formula1>Lists!$C$2:$C$4</x:formula1>
    </x:dataValidation>
    <x:dataValidation type="list" sqref="D4:D500">
      <x:formula1>Inventory!$B$4:$B$500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cd6e1d3c7846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8" customHeight="1">
      <x:c r="A1" s="15" t="str">
        <x:v>Sales Entry / Invoices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4" customHeight="1">
      <x:c r="A3" s="6" t="str">
        <x:v>Invoice No</x:v>
      </x:c>
      <x:c r="B3" s="6" t="str">
        <x:v>Date</x:v>
      </x:c>
      <x:c r="C3" s="6" t="str">
        <x:v>Client Name</x:v>
      </x:c>
      <x:c r="D3" s="6" t="str">
        <x:v>Item Code</x:v>
      </x:c>
      <x:c r="E3" s="6" t="str">
        <x:v>Stock Name</x:v>
      </x:c>
      <x:c r="F3" s="6" t="str">
        <x:v>Size</x:v>
      </x:c>
      <x:c r="G3" s="6" t="str">
        <x:v>Qty Sold</x:v>
      </x:c>
      <x:c r="H3" s="6" t="str">
        <x:v>Sale Price</x:v>
      </x:c>
      <x:c r="I3" s="6" t="str">
        <x:v>Total Amount</x:v>
      </x:c>
      <x:c r="J3" s="6" t="str">
        <x:v>Purchase Price</x:v>
      </x:c>
      <x:c r="K3" s="6" t="str">
        <x:v>Profit Per Unit</x:v>
      </x:c>
      <x:c r="L3" s="6" t="str">
        <x:v>Total Profit</x:v>
      </x:c>
      <x:c r="M3" s="6" t="str">
        <x:v>Payment Status</x:v>
      </x:c>
      <x:c r="N3" s="6" t="str">
        <x:v>Paid Amount</x:v>
      </x:c>
      <x:c r="O3" s="6" t="str">
        <x:v>Remarks</x:v>
      </x:c>
    </x:row>
    <x:row r="4">
      <x:c r="A4" s="50" t="str">
        <x:v>INV001</x:v>
      </x:c>
      <x:c r="B4" s="64" t="n">
        <x:v>46194</x:v>
      </x:c>
      <x:c r="C4" s="50" t="str">
        <x:v>Ahmed Printers</x:v>
      </x:c>
      <x:c r="D4" s="50" t="str">
        <x:v>PLT001</x:v>
      </x:c>
      <x:c r="E4" s="50" t="str">
        <x:f>IFERROR(VLOOKUP(D4,Inventory!$B:$D,2,FALSE),"")</x:f>
        <x:v>Printing Plate 12x18</x:v>
      </x:c>
      <x:c r="F4" s="50" t="str">
        <x:f>IFERROR(VLOOKUP(D4,Inventory!$B:$D,3,FALSE),"")</x:f>
        <x:v>12x18</x:v>
      </x:c>
      <x:c r="G4" s="65" t="n">
        <x:v>0</x:v>
      </x:c>
      <x:c r="H4" s="66" t="n">
        <x:v>0</x:v>
      </x:c>
      <x:c r="I4" s="66" t="n">
        <x:f>G4*H4</x:f>
        <x:v>0</x:v>
      </x:c>
      <x:c r="J4" s="66" t="n">
        <x:f>IFERROR(VLOOKUP(D4,Inventory!$B:$F,4,FALSE),0)</x:f>
        <x:v>0</x:v>
      </x:c>
      <x:c r="K4" s="66" t="n">
        <x:f>H4-J4</x:f>
        <x:v>0</x:v>
      </x:c>
      <x:c r="L4" s="66" t="n">
        <x:f>K4*G4</x:f>
        <x:v>0</x:v>
      </x:c>
      <x:c r="M4" s="50" t="str">
        <x:v>Unpaid</x:v>
      </x:c>
      <x:c r="N4" s="66" t="n">
        <x:v>0</x:v>
      </x:c>
      <x:c r="O4" s="50" t="str"/>
    </x:row>
    <x:row r="5">
      <x:c r="A5" s="50" t="str">
        <x:v>INV002</x:v>
      </x:c>
      <x:c r="B5" s="64" t="n">
        <x:v>46194</x:v>
      </x:c>
      <x:c r="C5" s="50" t="str">
        <x:v>Bilal Graphics</x:v>
      </x:c>
      <x:c r="D5" s="50" t="str">
        <x:v>PLT002</x:v>
      </x:c>
      <x:c r="E5" s="50" t="str">
        <x:f>IFERROR(VLOOKUP(D5,Inventory!$B:$D,2,FALSE),"")</x:f>
        <x:v>Printing Plate 18x24</x:v>
      </x:c>
      <x:c r="F5" s="50" t="str">
        <x:f>IFERROR(VLOOKUP(D5,Inventory!$B:$D,3,FALSE),"")</x:f>
        <x:v>18x24</x:v>
      </x:c>
      <x:c r="G5" s="65" t="n">
        <x:v>0</x:v>
      </x:c>
      <x:c r="H5" s="66" t="n">
        <x:v>0</x:v>
      </x:c>
      <x:c r="I5" s="66" t="n">
        <x:f>G5*H5</x:f>
        <x:v>0</x:v>
      </x:c>
      <x:c r="J5" s="66" t="n">
        <x:f>IFERROR(VLOOKUP(D5,Inventory!$B:$F,4,FALSE),0)</x:f>
        <x:v>0</x:v>
      </x:c>
      <x:c r="K5" s="66" t="n">
        <x:f>H5-J5</x:f>
        <x:v>0</x:v>
      </x:c>
      <x:c r="L5" s="66" t="n">
        <x:f>K5*G5</x:f>
        <x:v>0</x:v>
      </x:c>
      <x:c r="M5" s="50" t="str">
        <x:v>Unpaid</x:v>
      </x:c>
      <x:c r="N5" s="66" t="n">
        <x:v>0</x:v>
      </x:c>
      <x:c r="O5" s="50" t="str"/>
    </x:row>
    <x:row r="6">
      <x:c r="A6" s="50"/>
      <x:c r="B6" s="64"/>
      <x:c r="C6" s="50"/>
      <x:c r="D6" s="50"/>
      <x:c r="E6" s="50" t="str">
        <x:f>IFERROR(VLOOKUP(D6,Inventory!$B:$D,2,FALSE),"")</x:f>
      </x:c>
      <x:c r="F6" s="50" t="str">
        <x:f>IFERROR(VLOOKUP(D6,Inventory!$B:$D,3,FALSE),"")</x:f>
      </x:c>
      <x:c r="G6" s="65" t="n">
        <x:v>0</x:v>
      </x:c>
      <x:c r="H6" s="66" t="n">
        <x:v>0</x:v>
      </x:c>
      <x:c r="I6" s="66" t="n">
        <x:f>G6*H6</x:f>
        <x:v>0</x:v>
      </x:c>
      <x:c r="J6" s="66" t="str">
        <x:f>IFERROR(VLOOKUP(D6,Inventory!$B:$F,4,FALSE),0)</x:f>
      </x:c>
      <x:c r="K6" s="66" t="n">
        <x:f>H6-J6</x:f>
        <x:v>0</x:v>
      </x:c>
      <x:c r="L6" s="66" t="n">
        <x:f>K6*G6</x:f>
        <x:v>0</x:v>
      </x:c>
      <x:c r="M6" s="50"/>
      <x:c r="N6" s="66"/>
      <x:c r="O6" s="50"/>
    </x:row>
    <x:row r="7">
      <x:c r="A7" s="50"/>
      <x:c r="B7" s="64"/>
      <x:c r="C7" s="50"/>
      <x:c r="D7" s="50"/>
      <x:c r="E7" s="50" t="str">
        <x:f>IFERROR(VLOOKUP(D7,Inventory!$B:$D,2,FALSE),"")</x:f>
      </x:c>
      <x:c r="F7" s="50" t="str">
        <x:f>IFERROR(VLOOKUP(D7,Inventory!$B:$D,3,FALSE),"")</x:f>
      </x:c>
      <x:c r="G7" s="65" t="n">
        <x:v>0</x:v>
      </x:c>
      <x:c r="H7" s="66" t="n">
        <x:v>0</x:v>
      </x:c>
      <x:c r="I7" s="66" t="n">
        <x:f>G7*H7</x:f>
        <x:v>0</x:v>
      </x:c>
      <x:c r="J7" s="66" t="str">
        <x:f>IFERROR(VLOOKUP(D7,Inventory!$B:$F,4,FALSE),0)</x:f>
      </x:c>
      <x:c r="K7" s="66" t="n">
        <x:f>H7-J7</x:f>
        <x:v>0</x:v>
      </x:c>
      <x:c r="L7" s="66" t="n">
        <x:f>K7*G7</x:f>
        <x:v>0</x:v>
      </x:c>
      <x:c r="M7" s="50"/>
      <x:c r="N7" s="66"/>
      <x:c r="O7" s="50"/>
    </x:row>
    <x:row r="8">
      <x:c r="A8" s="50"/>
      <x:c r="B8" s="64"/>
      <x:c r="C8" s="50"/>
      <x:c r="D8" s="50"/>
      <x:c r="E8" s="50" t="str">
        <x:f>IFERROR(VLOOKUP(D8,Inventory!$B:$D,2,FALSE),"")</x:f>
      </x:c>
      <x:c r="F8" s="50" t="str">
        <x:f>IFERROR(VLOOKUP(D8,Inventory!$B:$D,3,FALSE),"")</x:f>
      </x:c>
      <x:c r="G8" s="65" t="n">
        <x:v>0</x:v>
      </x:c>
      <x:c r="H8" s="66" t="n">
        <x:v>0</x:v>
      </x:c>
      <x:c r="I8" s="66" t="n">
        <x:f>G8*H8</x:f>
        <x:v>0</x:v>
      </x:c>
      <x:c r="J8" s="66" t="str">
        <x:f>IFERROR(VLOOKUP(D8,Inventory!$B:$F,4,FALSE),0)</x:f>
      </x:c>
      <x:c r="K8" s="66" t="n">
        <x:f>H8-J8</x:f>
        <x:v>0</x:v>
      </x:c>
      <x:c r="L8" s="66" t="n">
        <x:f>K8*G8</x:f>
        <x:v>0</x:v>
      </x:c>
      <x:c r="M8" s="50"/>
      <x:c r="N8" s="66"/>
      <x:c r="O8" s="50"/>
    </x:row>
    <x:row r="9">
      <x:c r="A9" s="50"/>
      <x:c r="B9" s="64"/>
      <x:c r="C9" s="50"/>
      <x:c r="D9" s="50"/>
      <x:c r="E9" s="50" t="str">
        <x:f>IFERROR(VLOOKUP(D9,Inventory!$B:$D,2,FALSE),"")</x:f>
      </x:c>
      <x:c r="F9" s="50" t="str">
        <x:f>IFERROR(VLOOKUP(D9,Inventory!$B:$D,3,FALSE),"")</x:f>
      </x:c>
      <x:c r="G9" s="65" t="n">
        <x:v>0</x:v>
      </x:c>
      <x:c r="H9" s="66" t="n">
        <x:v>0</x:v>
      </x:c>
      <x:c r="I9" s="66" t="n">
        <x:f>G9*H9</x:f>
        <x:v>0</x:v>
      </x:c>
      <x:c r="J9" s="66" t="str">
        <x:f>IFERROR(VLOOKUP(D9,Inventory!$B:$F,4,FALSE),0)</x:f>
      </x:c>
      <x:c r="K9" s="66" t="n">
        <x:f>H9-J9</x:f>
        <x:v>0</x:v>
      </x:c>
      <x:c r="L9" s="66" t="n">
        <x:f>K9*G9</x:f>
        <x:v>0</x:v>
      </x:c>
      <x:c r="M9" s="50"/>
      <x:c r="N9" s="66"/>
      <x:c r="O9" s="50"/>
    </x:row>
    <x:row r="10">
      <x:c r="A10" s="50"/>
      <x:c r="B10" s="64"/>
      <x:c r="C10" s="50"/>
      <x:c r="D10" s="50"/>
      <x:c r="E10" s="50" t="str">
        <x:f>IFERROR(VLOOKUP(D10,Inventory!$B:$D,2,FALSE),"")</x:f>
      </x:c>
      <x:c r="F10" s="50" t="str">
        <x:f>IFERROR(VLOOKUP(D10,Inventory!$B:$D,3,FALSE),"")</x:f>
      </x:c>
      <x:c r="G10" s="65" t="n">
        <x:v>0</x:v>
      </x:c>
      <x:c r="H10" s="66" t="n">
        <x:v>0</x:v>
      </x:c>
      <x:c r="I10" s="66" t="n">
        <x:f>G10*H10</x:f>
        <x:v>0</x:v>
      </x:c>
      <x:c r="J10" s="66" t="str">
        <x:f>IFERROR(VLOOKUP(D10,Inventory!$B:$F,4,FALSE),0)</x:f>
      </x:c>
      <x:c r="K10" s="66" t="n">
        <x:f>H10-J10</x:f>
        <x:v>0</x:v>
      </x:c>
      <x:c r="L10" s="66" t="n">
        <x:f>K10*G10</x:f>
        <x:v>0</x:v>
      </x:c>
      <x:c r="M10" s="50"/>
      <x:c r="N10" s="66"/>
      <x:c r="O10" s="50"/>
    </x:row>
    <x:row r="11">
      <x:c r="A11" s="50"/>
      <x:c r="B11" s="64"/>
      <x:c r="C11" s="50"/>
      <x:c r="D11" s="50"/>
      <x:c r="E11" s="50" t="str">
        <x:f>IFERROR(VLOOKUP(D11,Inventory!$B:$D,2,FALSE),"")</x:f>
      </x:c>
      <x:c r="F11" s="50" t="str">
        <x:f>IFERROR(VLOOKUP(D11,Inventory!$B:$D,3,FALSE),"")</x:f>
      </x:c>
      <x:c r="G11" s="65" t="n">
        <x:v>0</x:v>
      </x:c>
      <x:c r="H11" s="66" t="n">
        <x:v>0</x:v>
      </x:c>
      <x:c r="I11" s="66" t="n">
        <x:f>G11*H11</x:f>
        <x:v>0</x:v>
      </x:c>
      <x:c r="J11" s="66" t="str">
        <x:f>IFERROR(VLOOKUP(D11,Inventory!$B:$F,4,FALSE),0)</x:f>
      </x:c>
      <x:c r="K11" s="66" t="n">
        <x:f>H11-J11</x:f>
        <x:v>0</x:v>
      </x:c>
      <x:c r="L11" s="66" t="n">
        <x:f>K11*G11</x:f>
        <x:v>0</x:v>
      </x:c>
      <x:c r="M11" s="50"/>
      <x:c r="N11" s="66"/>
      <x:c r="O11" s="50"/>
    </x:row>
    <x:row r="12">
      <x:c r="A12" s="50"/>
      <x:c r="B12" s="64"/>
      <x:c r="C12" s="50"/>
      <x:c r="D12" s="50"/>
      <x:c r="E12" s="50" t="str">
        <x:f>IFERROR(VLOOKUP(D12,Inventory!$B:$D,2,FALSE),"")</x:f>
      </x:c>
      <x:c r="F12" s="50" t="str">
        <x:f>IFERROR(VLOOKUP(D12,Inventory!$B:$D,3,FALSE),"")</x:f>
      </x:c>
      <x:c r="G12" s="65" t="n">
        <x:v>0</x:v>
      </x:c>
      <x:c r="H12" s="66" t="n">
        <x:v>0</x:v>
      </x:c>
      <x:c r="I12" s="66" t="n">
        <x:f>G12*H12</x:f>
        <x:v>0</x:v>
      </x:c>
      <x:c r="J12" s="66" t="str">
        <x:f>IFERROR(VLOOKUP(D12,Inventory!$B:$F,4,FALSE),0)</x:f>
      </x:c>
      <x:c r="K12" s="66" t="n">
        <x:f>H12-J12</x:f>
        <x:v>0</x:v>
      </x:c>
      <x:c r="L12" s="66" t="n">
        <x:f>K12*G12</x:f>
        <x:v>0</x:v>
      </x:c>
      <x:c r="M12" s="50"/>
      <x:c r="N12" s="66"/>
      <x:c r="O12" s="50"/>
    </x:row>
    <x:row r="13">
      <x:c r="A13" s="50"/>
      <x:c r="B13" s="64"/>
      <x:c r="C13" s="50"/>
      <x:c r="D13" s="50"/>
      <x:c r="E13" s="50" t="str">
        <x:f>IFERROR(VLOOKUP(D13,Inventory!$B:$D,2,FALSE),"")</x:f>
      </x:c>
      <x:c r="F13" s="50" t="str">
        <x:f>IFERROR(VLOOKUP(D13,Inventory!$B:$D,3,FALSE),"")</x:f>
      </x:c>
      <x:c r="G13" s="65" t="n">
        <x:v>0</x:v>
      </x:c>
      <x:c r="H13" s="66" t="n">
        <x:v>0</x:v>
      </x:c>
      <x:c r="I13" s="66" t="n">
        <x:f>G13*H13</x:f>
        <x:v>0</x:v>
      </x:c>
      <x:c r="J13" s="66" t="str">
        <x:f>IFERROR(VLOOKUP(D13,Inventory!$B:$F,4,FALSE),0)</x:f>
      </x:c>
      <x:c r="K13" s="66" t="n">
        <x:f>H13-J13</x:f>
        <x:v>0</x:v>
      </x:c>
      <x:c r="L13" s="66" t="n">
        <x:f>K13*G13</x:f>
        <x:v>0</x:v>
      </x:c>
      <x:c r="M13" s="50"/>
      <x:c r="N13" s="66"/>
      <x:c r="O13" s="50"/>
    </x:row>
    <x:row r="14">
      <x:c r="A14" s="50"/>
      <x:c r="B14" s="64"/>
      <x:c r="C14" s="50"/>
      <x:c r="D14" s="50"/>
      <x:c r="E14" s="50" t="str">
        <x:f>IFERROR(VLOOKUP(D14,Inventory!$B:$D,2,FALSE),"")</x:f>
      </x:c>
      <x:c r="F14" s="50" t="str">
        <x:f>IFERROR(VLOOKUP(D14,Inventory!$B:$D,3,FALSE),"")</x:f>
      </x:c>
      <x:c r="G14" s="65" t="n">
        <x:v>0</x:v>
      </x:c>
      <x:c r="H14" s="66" t="n">
        <x:v>0</x:v>
      </x:c>
      <x:c r="I14" s="66" t="n">
        <x:f>G14*H14</x:f>
        <x:v>0</x:v>
      </x:c>
      <x:c r="J14" s="66" t="str">
        <x:f>IFERROR(VLOOKUP(D14,Inventory!$B:$F,4,FALSE),0)</x:f>
      </x:c>
      <x:c r="K14" s="66" t="n">
        <x:f>H14-J14</x:f>
        <x:v>0</x:v>
      </x:c>
      <x:c r="L14" s="66" t="n">
        <x:f>K14*G14</x:f>
        <x:v>0</x:v>
      </x:c>
      <x:c r="M14" s="50"/>
      <x:c r="N14" s="66"/>
      <x:c r="O14" s="50"/>
    </x:row>
    <x:row r="15">
      <x:c r="A15" s="50"/>
      <x:c r="B15" s="64"/>
      <x:c r="C15" s="50"/>
      <x:c r="D15" s="50"/>
      <x:c r="E15" s="50" t="str">
        <x:f>IFERROR(VLOOKUP(D15,Inventory!$B:$D,2,FALSE),"")</x:f>
      </x:c>
      <x:c r="F15" s="50" t="str">
        <x:f>IFERROR(VLOOKUP(D15,Inventory!$B:$D,3,FALSE),"")</x:f>
      </x:c>
      <x:c r="G15" s="65" t="n">
        <x:v>0</x:v>
      </x:c>
      <x:c r="H15" s="66" t="n">
        <x:v>0</x:v>
      </x:c>
      <x:c r="I15" s="66" t="n">
        <x:f>G15*H15</x:f>
        <x:v>0</x:v>
      </x:c>
      <x:c r="J15" s="66" t="str">
        <x:f>IFERROR(VLOOKUP(D15,Inventory!$B:$F,4,FALSE),0)</x:f>
      </x:c>
      <x:c r="K15" s="66" t="n">
        <x:f>H15-J15</x:f>
        <x:v>0</x:v>
      </x:c>
      <x:c r="L15" s="66" t="n">
        <x:f>K15*G15</x:f>
        <x:v>0</x:v>
      </x:c>
      <x:c r="M15" s="50"/>
      <x:c r="N15" s="66"/>
      <x:c r="O15" s="50"/>
    </x:row>
    <x:row r="16">
      <x:c r="A16" s="50"/>
      <x:c r="B16" s="64"/>
      <x:c r="C16" s="50"/>
      <x:c r="D16" s="50"/>
      <x:c r="E16" s="50" t="str">
        <x:f>IFERROR(VLOOKUP(D16,Inventory!$B:$D,2,FALSE),"")</x:f>
      </x:c>
      <x:c r="F16" s="50" t="str">
        <x:f>IFERROR(VLOOKUP(D16,Inventory!$B:$D,3,FALSE),"")</x:f>
      </x:c>
      <x:c r="G16" s="65" t="n">
        <x:v>0</x:v>
      </x:c>
      <x:c r="H16" s="66" t="n">
        <x:v>0</x:v>
      </x:c>
      <x:c r="I16" s="66" t="n">
        <x:f>G16*H16</x:f>
        <x:v>0</x:v>
      </x:c>
      <x:c r="J16" s="66" t="str">
        <x:f>IFERROR(VLOOKUP(D16,Inventory!$B:$F,4,FALSE),0)</x:f>
      </x:c>
      <x:c r="K16" s="66" t="n">
        <x:f>H16-J16</x:f>
        <x:v>0</x:v>
      </x:c>
      <x:c r="L16" s="66" t="n">
        <x:f>K16*G16</x:f>
        <x:v>0</x:v>
      </x:c>
      <x:c r="M16" s="50"/>
      <x:c r="N16" s="66"/>
      <x:c r="O16" s="50"/>
    </x:row>
    <x:row r="17">
      <x:c r="A17" s="50"/>
      <x:c r="B17" s="64"/>
      <x:c r="C17" s="50"/>
      <x:c r="D17" s="50"/>
      <x:c r="E17" s="50" t="str">
        <x:f>IFERROR(VLOOKUP(D17,Inventory!$B:$D,2,FALSE),"")</x:f>
      </x:c>
      <x:c r="F17" s="50" t="str">
        <x:f>IFERROR(VLOOKUP(D17,Inventory!$B:$D,3,FALSE),"")</x:f>
      </x:c>
      <x:c r="G17" s="65" t="n">
        <x:v>0</x:v>
      </x:c>
      <x:c r="H17" s="66" t="n">
        <x:v>0</x:v>
      </x:c>
      <x:c r="I17" s="66" t="n">
        <x:f>G17*H17</x:f>
        <x:v>0</x:v>
      </x:c>
      <x:c r="J17" s="66" t="str">
        <x:f>IFERROR(VLOOKUP(D17,Inventory!$B:$F,4,FALSE),0)</x:f>
      </x:c>
      <x:c r="K17" s="66" t="n">
        <x:f>H17-J17</x:f>
        <x:v>0</x:v>
      </x:c>
      <x:c r="L17" s="66" t="n">
        <x:f>K17*G17</x:f>
        <x:v>0</x:v>
      </x:c>
      <x:c r="M17" s="50"/>
      <x:c r="N17" s="66"/>
      <x:c r="O17" s="50"/>
    </x:row>
    <x:row r="18">
      <x:c r="A18" s="50"/>
      <x:c r="B18" s="64"/>
      <x:c r="C18" s="50"/>
      <x:c r="D18" s="50"/>
      <x:c r="E18" s="50" t="str">
        <x:f>IFERROR(VLOOKUP(D18,Inventory!$B:$D,2,FALSE),"")</x:f>
      </x:c>
      <x:c r="F18" s="50" t="str">
        <x:f>IFERROR(VLOOKUP(D18,Inventory!$B:$D,3,FALSE),"")</x:f>
      </x:c>
      <x:c r="G18" s="65" t="n">
        <x:v>0</x:v>
      </x:c>
      <x:c r="H18" s="66" t="n">
        <x:v>0</x:v>
      </x:c>
      <x:c r="I18" s="66" t="n">
        <x:f>G18*H18</x:f>
        <x:v>0</x:v>
      </x:c>
      <x:c r="J18" s="66" t="str">
        <x:f>IFERROR(VLOOKUP(D18,Inventory!$B:$F,4,FALSE),0)</x:f>
      </x:c>
      <x:c r="K18" s="66" t="n">
        <x:f>H18-J18</x:f>
        <x:v>0</x:v>
      </x:c>
      <x:c r="L18" s="66" t="n">
        <x:f>K18*G18</x:f>
        <x:v>0</x:v>
      </x:c>
      <x:c r="M18" s="50"/>
      <x:c r="N18" s="66"/>
      <x:c r="O18" s="50"/>
    </x:row>
    <x:row r="19">
      <x:c r="A19" s="50"/>
      <x:c r="B19" s="64"/>
      <x:c r="C19" s="50"/>
      <x:c r="D19" s="50"/>
      <x:c r="E19" s="50" t="str">
        <x:f>IFERROR(VLOOKUP(D19,Inventory!$B:$D,2,FALSE),"")</x:f>
      </x:c>
      <x:c r="F19" s="50" t="str">
        <x:f>IFERROR(VLOOKUP(D19,Inventory!$B:$D,3,FALSE),"")</x:f>
      </x:c>
      <x:c r="G19" s="65" t="n">
        <x:v>0</x:v>
      </x:c>
      <x:c r="H19" s="66" t="n">
        <x:v>0</x:v>
      </x:c>
      <x:c r="I19" s="66" t="n">
        <x:f>G19*H19</x:f>
        <x:v>0</x:v>
      </x:c>
      <x:c r="J19" s="66" t="str">
        <x:f>IFERROR(VLOOKUP(D19,Inventory!$B:$F,4,FALSE),0)</x:f>
      </x:c>
      <x:c r="K19" s="66" t="n">
        <x:f>H19-J19</x:f>
        <x:v>0</x:v>
      </x:c>
      <x:c r="L19" s="66" t="n">
        <x:f>K19*G19</x:f>
        <x:v>0</x:v>
      </x:c>
      <x:c r="M19" s="50"/>
      <x:c r="N19" s="66"/>
      <x:c r="O19" s="50"/>
    </x:row>
    <x:row r="20">
      <x:c r="A20" s="50"/>
      <x:c r="B20" s="64"/>
      <x:c r="C20" s="50"/>
      <x:c r="D20" s="50"/>
      <x:c r="E20" s="50" t="str">
        <x:f>IFERROR(VLOOKUP(D20,Inventory!$B:$D,2,FALSE),"")</x:f>
      </x:c>
      <x:c r="F20" s="50" t="str">
        <x:f>IFERROR(VLOOKUP(D20,Inventory!$B:$D,3,FALSE),"")</x:f>
      </x:c>
      <x:c r="G20" s="65" t="n">
        <x:v>0</x:v>
      </x:c>
      <x:c r="H20" s="66" t="n">
        <x:v>0</x:v>
      </x:c>
      <x:c r="I20" s="66" t="n">
        <x:f>G20*H20</x:f>
        <x:v>0</x:v>
      </x:c>
      <x:c r="J20" s="66" t="str">
        <x:f>IFERROR(VLOOKUP(D20,Inventory!$B:$F,4,FALSE),0)</x:f>
      </x:c>
      <x:c r="K20" s="66" t="n">
        <x:f>H20-J20</x:f>
        <x:v>0</x:v>
      </x:c>
      <x:c r="L20" s="66" t="n">
        <x:f>K20*G20</x:f>
        <x:v>0</x:v>
      </x:c>
      <x:c r="M20" s="50"/>
      <x:c r="N20" s="66"/>
      <x:c r="O20" s="50"/>
    </x:row>
    <x:row r="21">
      <x:c r="A21" s="50"/>
      <x:c r="B21" s="64"/>
      <x:c r="C21" s="50"/>
      <x:c r="D21" s="50"/>
      <x:c r="E21" s="50" t="str">
        <x:f>IFERROR(VLOOKUP(D21,Inventory!$B:$D,2,FALSE),"")</x:f>
      </x:c>
      <x:c r="F21" s="50" t="str">
        <x:f>IFERROR(VLOOKUP(D21,Inventory!$B:$D,3,FALSE),"")</x:f>
      </x:c>
      <x:c r="G21" s="65" t="n">
        <x:v>0</x:v>
      </x:c>
      <x:c r="H21" s="66" t="n">
        <x:v>0</x:v>
      </x:c>
      <x:c r="I21" s="66" t="n">
        <x:f>G21*H21</x:f>
        <x:v>0</x:v>
      </x:c>
      <x:c r="J21" s="66" t="str">
        <x:f>IFERROR(VLOOKUP(D21,Inventory!$B:$F,4,FALSE),0)</x:f>
      </x:c>
      <x:c r="K21" s="66" t="n">
        <x:f>H21-J21</x:f>
        <x:v>0</x:v>
      </x:c>
      <x:c r="L21" s="66" t="n">
        <x:f>K21*G21</x:f>
        <x:v>0</x:v>
      </x:c>
      <x:c r="M21" s="50"/>
      <x:c r="N21" s="66"/>
      <x:c r="O21" s="50"/>
    </x:row>
    <x:row r="22">
      <x:c r="A22" s="50"/>
      <x:c r="B22" s="64"/>
      <x:c r="C22" s="50"/>
      <x:c r="D22" s="50"/>
      <x:c r="E22" s="50" t="str">
        <x:f>IFERROR(VLOOKUP(D22,Inventory!$B:$D,2,FALSE),"")</x:f>
      </x:c>
      <x:c r="F22" s="50" t="str">
        <x:f>IFERROR(VLOOKUP(D22,Inventory!$B:$D,3,FALSE),"")</x:f>
      </x:c>
      <x:c r="G22" s="65" t="n">
        <x:v>0</x:v>
      </x:c>
      <x:c r="H22" s="66" t="n">
        <x:v>0</x:v>
      </x:c>
      <x:c r="I22" s="66" t="n">
        <x:f>G22*H22</x:f>
        <x:v>0</x:v>
      </x:c>
      <x:c r="J22" s="66" t="str">
        <x:f>IFERROR(VLOOKUP(D22,Inventory!$B:$F,4,FALSE),0)</x:f>
      </x:c>
      <x:c r="K22" s="66" t="n">
        <x:f>H22-J22</x:f>
        <x:v>0</x:v>
      </x:c>
      <x:c r="L22" s="66" t="n">
        <x:f>K22*G22</x:f>
        <x:v>0</x:v>
      </x:c>
      <x:c r="M22" s="50"/>
      <x:c r="N22" s="66"/>
      <x:c r="O22" s="50"/>
    </x:row>
    <x:row r="23">
      <x:c r="A23" s="50"/>
      <x:c r="B23" s="64"/>
      <x:c r="C23" s="50"/>
      <x:c r="D23" s="50"/>
      <x:c r="E23" s="50" t="str">
        <x:f>IFERROR(VLOOKUP(D23,Inventory!$B:$D,2,FALSE),"")</x:f>
      </x:c>
      <x:c r="F23" s="50" t="str">
        <x:f>IFERROR(VLOOKUP(D23,Inventory!$B:$D,3,FALSE),"")</x:f>
      </x:c>
      <x:c r="G23" s="65" t="n">
        <x:v>0</x:v>
      </x:c>
      <x:c r="H23" s="66" t="n">
        <x:v>0</x:v>
      </x:c>
      <x:c r="I23" s="66" t="n">
        <x:f>G23*H23</x:f>
        <x:v>0</x:v>
      </x:c>
      <x:c r="J23" s="66" t="str">
        <x:f>IFERROR(VLOOKUP(D23,Inventory!$B:$F,4,FALSE),0)</x:f>
      </x:c>
      <x:c r="K23" s="66" t="n">
        <x:f>H23-J23</x:f>
        <x:v>0</x:v>
      </x:c>
      <x:c r="L23" s="66" t="n">
        <x:f>K23*G23</x:f>
        <x:v>0</x:v>
      </x:c>
      <x:c r="M23" s="50"/>
      <x:c r="N23" s="66"/>
      <x:c r="O23" s="50"/>
    </x:row>
    <x:row r="24">
      <x:c r="A24" s="50"/>
      <x:c r="B24" s="64"/>
      <x:c r="C24" s="50"/>
      <x:c r="D24" s="50"/>
      <x:c r="E24" s="50" t="str">
        <x:f>IFERROR(VLOOKUP(D24,Inventory!$B:$D,2,FALSE),"")</x:f>
      </x:c>
      <x:c r="F24" s="50" t="str">
        <x:f>IFERROR(VLOOKUP(D24,Inventory!$B:$D,3,FALSE),"")</x:f>
      </x:c>
      <x:c r="G24" s="65" t="n">
        <x:v>0</x:v>
      </x:c>
      <x:c r="H24" s="66" t="n">
        <x:v>0</x:v>
      </x:c>
      <x:c r="I24" s="66" t="n">
        <x:f>G24*H24</x:f>
        <x:v>0</x:v>
      </x:c>
      <x:c r="J24" s="66" t="str">
        <x:f>IFERROR(VLOOKUP(D24,Inventory!$B:$F,4,FALSE),0)</x:f>
      </x:c>
      <x:c r="K24" s="66" t="n">
        <x:f>H24-J24</x:f>
        <x:v>0</x:v>
      </x:c>
      <x:c r="L24" s="66" t="n">
        <x:f>K24*G24</x:f>
        <x:v>0</x:v>
      </x:c>
      <x:c r="M24" s="50"/>
      <x:c r="N24" s="66"/>
      <x:c r="O24" s="50"/>
    </x:row>
    <x:row r="25">
      <x:c r="A25" s="50"/>
      <x:c r="B25" s="64"/>
      <x:c r="C25" s="50"/>
      <x:c r="D25" s="50"/>
      <x:c r="E25" s="50" t="str">
        <x:f>IFERROR(VLOOKUP(D25,Inventory!$B:$D,2,FALSE),"")</x:f>
      </x:c>
      <x:c r="F25" s="50" t="str">
        <x:f>IFERROR(VLOOKUP(D25,Inventory!$B:$D,3,FALSE),"")</x:f>
      </x:c>
      <x:c r="G25" s="65" t="n">
        <x:v>0</x:v>
      </x:c>
      <x:c r="H25" s="66" t="n">
        <x:v>0</x:v>
      </x:c>
      <x:c r="I25" s="66" t="n">
        <x:f>G25*H25</x:f>
        <x:v>0</x:v>
      </x:c>
      <x:c r="J25" s="66" t="str">
        <x:f>IFERROR(VLOOKUP(D25,Inventory!$B:$F,4,FALSE),0)</x:f>
      </x:c>
      <x:c r="K25" s="66" t="n">
        <x:f>H25-J25</x:f>
        <x:v>0</x:v>
      </x:c>
      <x:c r="L25" s="66" t="n">
        <x:f>K25*G25</x:f>
        <x:v>0</x:v>
      </x:c>
      <x:c r="M25" s="50"/>
      <x:c r="N25" s="66"/>
      <x:c r="O25" s="50"/>
    </x:row>
    <x:row r="26">
      <x:c r="A26" s="50"/>
      <x:c r="B26" s="64"/>
      <x:c r="C26" s="50"/>
      <x:c r="D26" s="50"/>
      <x:c r="E26" s="50" t="str">
        <x:f>IFERROR(VLOOKUP(D26,Inventory!$B:$D,2,FALSE),"")</x:f>
      </x:c>
      <x:c r="F26" s="50" t="str">
        <x:f>IFERROR(VLOOKUP(D26,Inventory!$B:$D,3,FALSE),"")</x:f>
      </x:c>
      <x:c r="G26" s="65" t="n">
        <x:v>0</x:v>
      </x:c>
      <x:c r="H26" s="66" t="n">
        <x:v>0</x:v>
      </x:c>
      <x:c r="I26" s="66" t="n">
        <x:f>G26*H26</x:f>
        <x:v>0</x:v>
      </x:c>
      <x:c r="J26" s="66" t="str">
        <x:f>IFERROR(VLOOKUP(D26,Inventory!$B:$F,4,FALSE),0)</x:f>
      </x:c>
      <x:c r="K26" s="66" t="n">
        <x:f>H26-J26</x:f>
        <x:v>0</x:v>
      </x:c>
      <x:c r="L26" s="66" t="n">
        <x:f>K26*G26</x:f>
        <x:v>0</x:v>
      </x:c>
      <x:c r="M26" s="50"/>
      <x:c r="N26" s="66"/>
      <x:c r="O26" s="50"/>
    </x:row>
    <x:row r="27">
      <x:c r="A27" s="50"/>
      <x:c r="B27" s="64"/>
      <x:c r="C27" s="50"/>
      <x:c r="D27" s="50"/>
      <x:c r="E27" s="50" t="str">
        <x:f>IFERROR(VLOOKUP(D27,Inventory!$B:$D,2,FALSE),"")</x:f>
      </x:c>
      <x:c r="F27" s="50" t="str">
        <x:f>IFERROR(VLOOKUP(D27,Inventory!$B:$D,3,FALSE),"")</x:f>
      </x:c>
      <x:c r="G27" s="65" t="n">
        <x:v>0</x:v>
      </x:c>
      <x:c r="H27" s="66" t="n">
        <x:v>0</x:v>
      </x:c>
      <x:c r="I27" s="66" t="n">
        <x:f>G27*H27</x:f>
        <x:v>0</x:v>
      </x:c>
      <x:c r="J27" s="66" t="str">
        <x:f>IFERROR(VLOOKUP(D27,Inventory!$B:$F,4,FALSE),0)</x:f>
      </x:c>
      <x:c r="K27" s="66" t="n">
        <x:f>H27-J27</x:f>
        <x:v>0</x:v>
      </x:c>
      <x:c r="L27" s="66" t="n">
        <x:f>K27*G27</x:f>
        <x:v>0</x:v>
      </x:c>
      <x:c r="M27" s="50"/>
      <x:c r="N27" s="66"/>
      <x:c r="O27" s="50"/>
    </x:row>
    <x:row r="28">
      <x:c r="A28" s="50"/>
      <x:c r="B28" s="64"/>
      <x:c r="C28" s="50"/>
      <x:c r="D28" s="50"/>
      <x:c r="E28" s="50" t="str">
        <x:f>IFERROR(VLOOKUP(D28,Inventory!$B:$D,2,FALSE),"")</x:f>
      </x:c>
      <x:c r="F28" s="50" t="str">
        <x:f>IFERROR(VLOOKUP(D28,Inventory!$B:$D,3,FALSE),"")</x:f>
      </x:c>
      <x:c r="G28" s="65" t="n">
        <x:v>0</x:v>
      </x:c>
      <x:c r="H28" s="66" t="n">
        <x:v>0</x:v>
      </x:c>
      <x:c r="I28" s="66" t="n">
        <x:f>G28*H28</x:f>
        <x:v>0</x:v>
      </x:c>
      <x:c r="J28" s="66" t="str">
        <x:f>IFERROR(VLOOKUP(D28,Inventory!$B:$F,4,FALSE),0)</x:f>
      </x:c>
      <x:c r="K28" s="66" t="n">
        <x:f>H28-J28</x:f>
        <x:v>0</x:v>
      </x:c>
      <x:c r="L28" s="66" t="n">
        <x:f>K28*G28</x:f>
        <x:v>0</x:v>
      </x:c>
      <x:c r="M28" s="50"/>
      <x:c r="N28" s="66"/>
      <x:c r="O28" s="50"/>
    </x:row>
    <x:row r="29">
      <x:c r="A29" s="50"/>
      <x:c r="B29" s="64"/>
      <x:c r="C29" s="50"/>
      <x:c r="D29" s="50"/>
      <x:c r="E29" s="50" t="str">
        <x:f>IFERROR(VLOOKUP(D29,Inventory!$B:$D,2,FALSE),"")</x:f>
      </x:c>
      <x:c r="F29" s="50" t="str">
        <x:f>IFERROR(VLOOKUP(D29,Inventory!$B:$D,3,FALSE),"")</x:f>
      </x:c>
      <x:c r="G29" s="65" t="n">
        <x:v>0</x:v>
      </x:c>
      <x:c r="H29" s="66" t="n">
        <x:v>0</x:v>
      </x:c>
      <x:c r="I29" s="66" t="n">
        <x:f>G29*H29</x:f>
        <x:v>0</x:v>
      </x:c>
      <x:c r="J29" s="66" t="str">
        <x:f>IFERROR(VLOOKUP(D29,Inventory!$B:$F,4,FALSE),0)</x:f>
      </x:c>
      <x:c r="K29" s="66" t="n">
        <x:f>H29-J29</x:f>
        <x:v>0</x:v>
      </x:c>
      <x:c r="L29" s="66" t="n">
        <x:f>K29*G29</x:f>
        <x:v>0</x:v>
      </x:c>
      <x:c r="M29" s="50"/>
      <x:c r="N29" s="66"/>
      <x:c r="O29" s="50"/>
    </x:row>
    <x:row r="30">
      <x:c r="A30" s="50"/>
      <x:c r="B30" s="64"/>
      <x:c r="C30" s="50"/>
      <x:c r="D30" s="50"/>
      <x:c r="E30" s="50" t="str">
        <x:f>IFERROR(VLOOKUP(D30,Inventory!$B:$D,2,FALSE),"")</x:f>
      </x:c>
      <x:c r="F30" s="50" t="str">
        <x:f>IFERROR(VLOOKUP(D30,Inventory!$B:$D,3,FALSE),"")</x:f>
      </x:c>
      <x:c r="G30" s="65" t="n">
        <x:v>0</x:v>
      </x:c>
      <x:c r="H30" s="66" t="n">
        <x:v>0</x:v>
      </x:c>
      <x:c r="I30" s="66" t="n">
        <x:f>G30*H30</x:f>
        <x:v>0</x:v>
      </x:c>
      <x:c r="J30" s="66" t="str">
        <x:f>IFERROR(VLOOKUP(D30,Inventory!$B:$F,4,FALSE),0)</x:f>
      </x:c>
      <x:c r="K30" s="66" t="n">
        <x:f>H30-J30</x:f>
        <x:v>0</x:v>
      </x:c>
      <x:c r="L30" s="66" t="n">
        <x:f>K30*G30</x:f>
        <x:v>0</x:v>
      </x:c>
      <x:c r="M30" s="50"/>
      <x:c r="N30" s="66"/>
      <x:c r="O30" s="50"/>
    </x:row>
    <x:row r="31">
      <x:c r="A31" s="50"/>
      <x:c r="B31" s="64"/>
      <x:c r="C31" s="50"/>
      <x:c r="D31" s="50"/>
      <x:c r="E31" s="50" t="str">
        <x:f>IFERROR(VLOOKUP(D31,Inventory!$B:$D,2,FALSE),"")</x:f>
      </x:c>
      <x:c r="F31" s="50" t="str">
        <x:f>IFERROR(VLOOKUP(D31,Inventory!$B:$D,3,FALSE),"")</x:f>
      </x:c>
      <x:c r="G31" s="65" t="n">
        <x:v>0</x:v>
      </x:c>
      <x:c r="H31" s="66" t="n">
        <x:v>0</x:v>
      </x:c>
      <x:c r="I31" s="66" t="n">
        <x:f>G31*H31</x:f>
        <x:v>0</x:v>
      </x:c>
      <x:c r="J31" s="66" t="str">
        <x:f>IFERROR(VLOOKUP(D31,Inventory!$B:$F,4,FALSE),0)</x:f>
      </x:c>
      <x:c r="K31" s="66" t="n">
        <x:f>H31-J31</x:f>
        <x:v>0</x:v>
      </x:c>
      <x:c r="L31" s="66" t="n">
        <x:f>K31*G31</x:f>
        <x:v>0</x:v>
      </x:c>
      <x:c r="M31" s="50"/>
      <x:c r="N31" s="66"/>
      <x:c r="O31" s="50"/>
    </x:row>
    <x:row r="32">
      <x:c r="A32" s="50"/>
      <x:c r="B32" s="64"/>
      <x:c r="C32" s="50"/>
      <x:c r="D32" s="50"/>
      <x:c r="E32" s="50" t="str">
        <x:f>IFERROR(VLOOKUP(D32,Inventory!$B:$D,2,FALSE),"")</x:f>
      </x:c>
      <x:c r="F32" s="50" t="str">
        <x:f>IFERROR(VLOOKUP(D32,Inventory!$B:$D,3,FALSE),"")</x:f>
      </x:c>
      <x:c r="G32" s="65" t="n">
        <x:v>0</x:v>
      </x:c>
      <x:c r="H32" s="66" t="n">
        <x:v>0</x:v>
      </x:c>
      <x:c r="I32" s="66" t="n">
        <x:f>G32*H32</x:f>
        <x:v>0</x:v>
      </x:c>
      <x:c r="J32" s="66" t="str">
        <x:f>IFERROR(VLOOKUP(D32,Inventory!$B:$F,4,FALSE),0)</x:f>
      </x:c>
      <x:c r="K32" s="66" t="n">
        <x:f>H32-J32</x:f>
        <x:v>0</x:v>
      </x:c>
      <x:c r="L32" s="66" t="n">
        <x:f>K32*G32</x:f>
        <x:v>0</x:v>
      </x:c>
      <x:c r="M32" s="50"/>
      <x:c r="N32" s="66"/>
      <x:c r="O32" s="50"/>
    </x:row>
    <x:row r="33">
      <x:c r="A33" s="50"/>
      <x:c r="B33" s="64"/>
      <x:c r="C33" s="50"/>
      <x:c r="D33" s="50"/>
      <x:c r="E33" s="50" t="str">
        <x:f>IFERROR(VLOOKUP(D33,Inventory!$B:$D,2,FALSE),"")</x:f>
      </x:c>
      <x:c r="F33" s="50" t="str">
        <x:f>IFERROR(VLOOKUP(D33,Inventory!$B:$D,3,FALSE),"")</x:f>
      </x:c>
      <x:c r="G33" s="65" t="n">
        <x:v>0</x:v>
      </x:c>
      <x:c r="H33" s="66" t="n">
        <x:v>0</x:v>
      </x:c>
      <x:c r="I33" s="66" t="n">
        <x:f>G33*H33</x:f>
        <x:v>0</x:v>
      </x:c>
      <x:c r="J33" s="66" t="str">
        <x:f>IFERROR(VLOOKUP(D33,Inventory!$B:$F,4,FALSE),0)</x:f>
      </x:c>
      <x:c r="K33" s="66" t="n">
        <x:f>H33-J33</x:f>
        <x:v>0</x:v>
      </x:c>
      <x:c r="L33" s="66" t="n">
        <x:f>K33*G33</x:f>
        <x:v>0</x:v>
      </x:c>
      <x:c r="M33" s="50"/>
      <x:c r="N33" s="66"/>
      <x:c r="O33" s="50"/>
    </x:row>
    <x:row r="34">
      <x:c r="A34" s="50"/>
      <x:c r="B34" s="64"/>
      <x:c r="C34" s="50"/>
      <x:c r="D34" s="50"/>
      <x:c r="E34" s="50" t="str">
        <x:f>IFERROR(VLOOKUP(D34,Inventory!$B:$D,2,FALSE),"")</x:f>
      </x:c>
      <x:c r="F34" s="50" t="str">
        <x:f>IFERROR(VLOOKUP(D34,Inventory!$B:$D,3,FALSE),"")</x:f>
      </x:c>
      <x:c r="G34" s="65" t="n">
        <x:v>0</x:v>
      </x:c>
      <x:c r="H34" s="66" t="n">
        <x:v>0</x:v>
      </x:c>
      <x:c r="I34" s="66" t="n">
        <x:f>G34*H34</x:f>
        <x:v>0</x:v>
      </x:c>
      <x:c r="J34" s="66" t="str">
        <x:f>IFERROR(VLOOKUP(D34,Inventory!$B:$F,4,FALSE),0)</x:f>
      </x:c>
      <x:c r="K34" s="66" t="n">
        <x:f>H34-J34</x:f>
        <x:v>0</x:v>
      </x:c>
      <x:c r="L34" s="66" t="n">
        <x:f>K34*G34</x:f>
        <x:v>0</x:v>
      </x:c>
      <x:c r="M34" s="50"/>
      <x:c r="N34" s="66"/>
      <x:c r="O34" s="50"/>
    </x:row>
    <x:row r="35">
      <x:c r="A35" s="50"/>
      <x:c r="B35" s="64"/>
      <x:c r="C35" s="50"/>
      <x:c r="D35" s="50"/>
      <x:c r="E35" s="50" t="str">
        <x:f>IFERROR(VLOOKUP(D35,Inventory!$B:$D,2,FALSE),"")</x:f>
      </x:c>
      <x:c r="F35" s="50" t="str">
        <x:f>IFERROR(VLOOKUP(D35,Inventory!$B:$D,3,FALSE),"")</x:f>
      </x:c>
      <x:c r="G35" s="65" t="n">
        <x:v>0</x:v>
      </x:c>
      <x:c r="H35" s="66" t="n">
        <x:v>0</x:v>
      </x:c>
      <x:c r="I35" s="66" t="n">
        <x:f>G35*H35</x:f>
        <x:v>0</x:v>
      </x:c>
      <x:c r="J35" s="66" t="str">
        <x:f>IFERROR(VLOOKUP(D35,Inventory!$B:$F,4,FALSE),0)</x:f>
      </x:c>
      <x:c r="K35" s="66" t="n">
        <x:f>H35-J35</x:f>
        <x:v>0</x:v>
      </x:c>
      <x:c r="L35" s="66" t="n">
        <x:f>K35*G35</x:f>
        <x:v>0</x:v>
      </x:c>
      <x:c r="M35" s="50"/>
      <x:c r="N35" s="66"/>
      <x:c r="O35" s="50"/>
    </x:row>
    <x:row r="36">
      <x:c r="A36" s="50"/>
      <x:c r="B36" s="64"/>
      <x:c r="C36" s="50"/>
      <x:c r="D36" s="50"/>
      <x:c r="E36" s="50" t="str">
        <x:f>IFERROR(VLOOKUP(D36,Inventory!$B:$D,2,FALSE),"")</x:f>
      </x:c>
      <x:c r="F36" s="50" t="str">
        <x:f>IFERROR(VLOOKUP(D36,Inventory!$B:$D,3,FALSE),"")</x:f>
      </x:c>
      <x:c r="G36" s="65" t="n">
        <x:v>0</x:v>
      </x:c>
      <x:c r="H36" s="66" t="n">
        <x:v>0</x:v>
      </x:c>
      <x:c r="I36" s="66" t="n">
        <x:f>G36*H36</x:f>
        <x:v>0</x:v>
      </x:c>
      <x:c r="J36" s="66" t="str">
        <x:f>IFERROR(VLOOKUP(D36,Inventory!$B:$F,4,FALSE),0)</x:f>
      </x:c>
      <x:c r="K36" s="66" t="n">
        <x:f>H36-J36</x:f>
        <x:v>0</x:v>
      </x:c>
      <x:c r="L36" s="66" t="n">
        <x:f>K36*G36</x:f>
        <x:v>0</x:v>
      </x:c>
      <x:c r="M36" s="50"/>
      <x:c r="N36" s="66"/>
      <x:c r="O36" s="50"/>
    </x:row>
    <x:row r="37">
      <x:c r="A37" s="50"/>
      <x:c r="B37" s="64"/>
      <x:c r="C37" s="50"/>
      <x:c r="D37" s="50"/>
      <x:c r="E37" s="50" t="str">
        <x:f>IFERROR(VLOOKUP(D37,Inventory!$B:$D,2,FALSE),"")</x:f>
      </x:c>
      <x:c r="F37" s="50" t="str">
        <x:f>IFERROR(VLOOKUP(D37,Inventory!$B:$D,3,FALSE),"")</x:f>
      </x:c>
      <x:c r="G37" s="65" t="n">
        <x:v>0</x:v>
      </x:c>
      <x:c r="H37" s="66" t="n">
        <x:v>0</x:v>
      </x:c>
      <x:c r="I37" s="66" t="n">
        <x:f>G37*H37</x:f>
        <x:v>0</x:v>
      </x:c>
      <x:c r="J37" s="66" t="str">
        <x:f>IFERROR(VLOOKUP(D37,Inventory!$B:$F,4,FALSE),0)</x:f>
      </x:c>
      <x:c r="K37" s="66" t="n">
        <x:f>H37-J37</x:f>
        <x:v>0</x:v>
      </x:c>
      <x:c r="L37" s="66" t="n">
        <x:f>K37*G37</x:f>
        <x:v>0</x:v>
      </x:c>
      <x:c r="M37" s="50"/>
      <x:c r="N37" s="66"/>
      <x:c r="O37" s="50"/>
    </x:row>
    <x:row r="38">
      <x:c r="A38" s="50"/>
      <x:c r="B38" s="64"/>
      <x:c r="C38" s="50"/>
      <x:c r="D38" s="50"/>
      <x:c r="E38" s="50" t="str">
        <x:f>IFERROR(VLOOKUP(D38,Inventory!$B:$D,2,FALSE),"")</x:f>
      </x:c>
      <x:c r="F38" s="50" t="str">
        <x:f>IFERROR(VLOOKUP(D38,Inventory!$B:$D,3,FALSE),"")</x:f>
      </x:c>
      <x:c r="G38" s="65" t="n">
        <x:v>0</x:v>
      </x:c>
      <x:c r="H38" s="66" t="n">
        <x:v>0</x:v>
      </x:c>
      <x:c r="I38" s="66" t="n">
        <x:f>G38*H38</x:f>
        <x:v>0</x:v>
      </x:c>
      <x:c r="J38" s="66" t="str">
        <x:f>IFERROR(VLOOKUP(D38,Inventory!$B:$F,4,FALSE),0)</x:f>
      </x:c>
      <x:c r="K38" s="66" t="n">
        <x:f>H38-J38</x:f>
        <x:v>0</x:v>
      </x:c>
      <x:c r="L38" s="66" t="n">
        <x:f>K38*G38</x:f>
        <x:v>0</x:v>
      </x:c>
      <x:c r="M38" s="50"/>
      <x:c r="N38" s="66"/>
      <x:c r="O38" s="50"/>
    </x:row>
    <x:row r="39">
      <x:c r="A39" s="50"/>
      <x:c r="B39" s="64"/>
      <x:c r="C39" s="50"/>
      <x:c r="D39" s="50"/>
      <x:c r="E39" s="50" t="str">
        <x:f>IFERROR(VLOOKUP(D39,Inventory!$B:$D,2,FALSE),"")</x:f>
      </x:c>
      <x:c r="F39" s="50" t="str">
        <x:f>IFERROR(VLOOKUP(D39,Inventory!$B:$D,3,FALSE),"")</x:f>
      </x:c>
      <x:c r="G39" s="65" t="n">
        <x:v>0</x:v>
      </x:c>
      <x:c r="H39" s="66" t="n">
        <x:v>0</x:v>
      </x:c>
      <x:c r="I39" s="66" t="n">
        <x:f>G39*H39</x:f>
        <x:v>0</x:v>
      </x:c>
      <x:c r="J39" s="66" t="str">
        <x:f>IFERROR(VLOOKUP(D39,Inventory!$B:$F,4,FALSE),0)</x:f>
      </x:c>
      <x:c r="K39" s="66" t="n">
        <x:f>H39-J39</x:f>
        <x:v>0</x:v>
      </x:c>
      <x:c r="L39" s="66" t="n">
        <x:f>K39*G39</x:f>
        <x:v>0</x:v>
      </x:c>
      <x:c r="M39" s="50"/>
      <x:c r="N39" s="66"/>
      <x:c r="O39" s="50"/>
    </x:row>
    <x:row r="40">
      <x:c r="A40" s="50"/>
      <x:c r="B40" s="64"/>
      <x:c r="C40" s="50"/>
      <x:c r="D40" s="50"/>
      <x:c r="E40" s="50" t="str">
        <x:f>IFERROR(VLOOKUP(D40,Inventory!$B:$D,2,FALSE),"")</x:f>
      </x:c>
      <x:c r="F40" s="50" t="str">
        <x:f>IFERROR(VLOOKUP(D40,Inventory!$B:$D,3,FALSE),"")</x:f>
      </x:c>
      <x:c r="G40" s="65" t="n">
        <x:v>0</x:v>
      </x:c>
      <x:c r="H40" s="66" t="n">
        <x:v>0</x:v>
      </x:c>
      <x:c r="I40" s="66" t="n">
        <x:f>G40*H40</x:f>
        <x:v>0</x:v>
      </x:c>
      <x:c r="J40" s="66" t="str">
        <x:f>IFERROR(VLOOKUP(D40,Inventory!$B:$F,4,FALSE),0)</x:f>
      </x:c>
      <x:c r="K40" s="66" t="n">
        <x:f>H40-J40</x:f>
        <x:v>0</x:v>
      </x:c>
      <x:c r="L40" s="66" t="n">
        <x:f>K40*G40</x:f>
        <x:v>0</x:v>
      </x:c>
      <x:c r="M40" s="50"/>
      <x:c r="N40" s="66"/>
      <x:c r="O40" s="50"/>
    </x:row>
    <x:row r="41">
      <x:c r="A41" s="50"/>
      <x:c r="B41" s="64"/>
      <x:c r="C41" s="50"/>
      <x:c r="D41" s="50"/>
      <x:c r="E41" s="50" t="str">
        <x:f>IFERROR(VLOOKUP(D41,Inventory!$B:$D,2,FALSE),"")</x:f>
      </x:c>
      <x:c r="F41" s="50" t="str">
        <x:f>IFERROR(VLOOKUP(D41,Inventory!$B:$D,3,FALSE),"")</x:f>
      </x:c>
      <x:c r="G41" s="65" t="n">
        <x:v>0</x:v>
      </x:c>
      <x:c r="H41" s="66" t="n">
        <x:v>0</x:v>
      </x:c>
      <x:c r="I41" s="66" t="n">
        <x:f>G41*H41</x:f>
        <x:v>0</x:v>
      </x:c>
      <x:c r="J41" s="66" t="str">
        <x:f>IFERROR(VLOOKUP(D41,Inventory!$B:$F,4,FALSE),0)</x:f>
      </x:c>
      <x:c r="K41" s="66" t="n">
        <x:f>H41-J41</x:f>
        <x:v>0</x:v>
      </x:c>
      <x:c r="L41" s="66" t="n">
        <x:f>K41*G41</x:f>
        <x:v>0</x:v>
      </x:c>
      <x:c r="M41" s="50"/>
      <x:c r="N41" s="66"/>
      <x:c r="O41" s="50"/>
    </x:row>
    <x:row r="42">
      <x:c r="A42" s="50"/>
      <x:c r="B42" s="64"/>
      <x:c r="C42" s="50"/>
      <x:c r="D42" s="50"/>
      <x:c r="E42" s="50" t="str">
        <x:f>IFERROR(VLOOKUP(D42,Inventory!$B:$D,2,FALSE),"")</x:f>
      </x:c>
      <x:c r="F42" s="50" t="str">
        <x:f>IFERROR(VLOOKUP(D42,Inventory!$B:$D,3,FALSE),"")</x:f>
      </x:c>
      <x:c r="G42" s="65" t="n">
        <x:v>0</x:v>
      </x:c>
      <x:c r="H42" s="66" t="n">
        <x:v>0</x:v>
      </x:c>
      <x:c r="I42" s="66" t="n">
        <x:f>G42*H42</x:f>
        <x:v>0</x:v>
      </x:c>
      <x:c r="J42" s="66" t="str">
        <x:f>IFERROR(VLOOKUP(D42,Inventory!$B:$F,4,FALSE),0)</x:f>
      </x:c>
      <x:c r="K42" s="66" t="n">
        <x:f>H42-J42</x:f>
        <x:v>0</x:v>
      </x:c>
      <x:c r="L42" s="66" t="n">
        <x:f>K42*G42</x:f>
        <x:v>0</x:v>
      </x:c>
      <x:c r="M42" s="50"/>
      <x:c r="N42" s="66"/>
      <x:c r="O42" s="50"/>
    </x:row>
    <x:row r="43">
      <x:c r="A43" s="50"/>
      <x:c r="B43" s="64"/>
      <x:c r="C43" s="50"/>
      <x:c r="D43" s="50"/>
      <x:c r="E43" s="50" t="str">
        <x:f>IFERROR(VLOOKUP(D43,Inventory!$B:$D,2,FALSE),"")</x:f>
      </x:c>
      <x:c r="F43" s="50" t="str">
        <x:f>IFERROR(VLOOKUP(D43,Inventory!$B:$D,3,FALSE),"")</x:f>
      </x:c>
      <x:c r="G43" s="65" t="n">
        <x:v>0</x:v>
      </x:c>
      <x:c r="H43" s="66" t="n">
        <x:v>0</x:v>
      </x:c>
      <x:c r="I43" s="66" t="n">
        <x:f>G43*H43</x:f>
        <x:v>0</x:v>
      </x:c>
      <x:c r="J43" s="66" t="str">
        <x:f>IFERROR(VLOOKUP(D43,Inventory!$B:$F,4,FALSE),0)</x:f>
      </x:c>
      <x:c r="K43" s="66" t="n">
        <x:f>H43-J43</x:f>
        <x:v>0</x:v>
      </x:c>
      <x:c r="L43" s="66" t="n">
        <x:f>K43*G43</x:f>
        <x:v>0</x:v>
      </x:c>
      <x:c r="M43" s="50"/>
      <x:c r="N43" s="66"/>
      <x:c r="O43" s="50"/>
    </x:row>
    <x:row r="44">
      <x:c r="A44" s="50"/>
      <x:c r="B44" s="64"/>
      <x:c r="C44" s="50"/>
      <x:c r="D44" s="50"/>
      <x:c r="E44" s="50" t="str">
        <x:f>IFERROR(VLOOKUP(D44,Inventory!$B:$D,2,FALSE),"")</x:f>
      </x:c>
      <x:c r="F44" s="50" t="str">
        <x:f>IFERROR(VLOOKUP(D44,Inventory!$B:$D,3,FALSE),"")</x:f>
      </x:c>
      <x:c r="G44" s="65" t="n">
        <x:v>0</x:v>
      </x:c>
      <x:c r="H44" s="66" t="n">
        <x:v>0</x:v>
      </x:c>
      <x:c r="I44" s="66" t="n">
        <x:f>G44*H44</x:f>
        <x:v>0</x:v>
      </x:c>
      <x:c r="J44" s="66" t="str">
        <x:f>IFERROR(VLOOKUP(D44,Inventory!$B:$F,4,FALSE),0)</x:f>
      </x:c>
      <x:c r="K44" s="66" t="n">
        <x:f>H44-J44</x:f>
        <x:v>0</x:v>
      </x:c>
      <x:c r="L44" s="66" t="n">
        <x:f>K44*G44</x:f>
        <x:v>0</x:v>
      </x:c>
      <x:c r="M44" s="50"/>
      <x:c r="N44" s="66"/>
      <x:c r="O44" s="50"/>
    </x:row>
    <x:row r="45">
      <x:c r="A45" s="50"/>
      <x:c r="B45" s="64"/>
      <x:c r="C45" s="50"/>
      <x:c r="D45" s="50"/>
      <x:c r="E45" s="50" t="str">
        <x:f>IFERROR(VLOOKUP(D45,Inventory!$B:$D,2,FALSE),"")</x:f>
      </x:c>
      <x:c r="F45" s="50" t="str">
        <x:f>IFERROR(VLOOKUP(D45,Inventory!$B:$D,3,FALSE),"")</x:f>
      </x:c>
      <x:c r="G45" s="65" t="n">
        <x:v>0</x:v>
      </x:c>
      <x:c r="H45" s="66" t="n">
        <x:v>0</x:v>
      </x:c>
      <x:c r="I45" s="66" t="n">
        <x:f>G45*H45</x:f>
        <x:v>0</x:v>
      </x:c>
      <x:c r="J45" s="66" t="str">
        <x:f>IFERROR(VLOOKUP(D45,Inventory!$B:$F,4,FALSE),0)</x:f>
      </x:c>
      <x:c r="K45" s="66" t="n">
        <x:f>H45-J45</x:f>
        <x:v>0</x:v>
      </x:c>
      <x:c r="L45" s="66" t="n">
        <x:f>K45*G45</x:f>
        <x:v>0</x:v>
      </x:c>
      <x:c r="M45" s="50"/>
      <x:c r="N45" s="66"/>
      <x:c r="O45" s="50"/>
    </x:row>
    <x:row r="46">
      <x:c r="A46" s="50"/>
      <x:c r="B46" s="64"/>
      <x:c r="C46" s="50"/>
      <x:c r="D46" s="50"/>
      <x:c r="E46" s="50" t="str">
        <x:f>IFERROR(VLOOKUP(D46,Inventory!$B:$D,2,FALSE),"")</x:f>
      </x:c>
      <x:c r="F46" s="50" t="str">
        <x:f>IFERROR(VLOOKUP(D46,Inventory!$B:$D,3,FALSE),"")</x:f>
      </x:c>
      <x:c r="G46" s="65" t="n">
        <x:v>0</x:v>
      </x:c>
      <x:c r="H46" s="66" t="n">
        <x:v>0</x:v>
      </x:c>
      <x:c r="I46" s="66" t="n">
        <x:f>G46*H46</x:f>
        <x:v>0</x:v>
      </x:c>
      <x:c r="J46" s="66" t="str">
        <x:f>IFERROR(VLOOKUP(D46,Inventory!$B:$F,4,FALSE),0)</x:f>
      </x:c>
      <x:c r="K46" s="66" t="n">
        <x:f>H46-J46</x:f>
        <x:v>0</x:v>
      </x:c>
      <x:c r="L46" s="66" t="n">
        <x:f>K46*G46</x:f>
        <x:v>0</x:v>
      </x:c>
      <x:c r="M46" s="50"/>
      <x:c r="N46" s="66"/>
      <x:c r="O46" s="50"/>
    </x:row>
    <x:row r="47">
      <x:c r="A47" s="50"/>
      <x:c r="B47" s="64"/>
      <x:c r="C47" s="50"/>
      <x:c r="D47" s="50"/>
      <x:c r="E47" s="50" t="str">
        <x:f>IFERROR(VLOOKUP(D47,Inventory!$B:$D,2,FALSE),"")</x:f>
      </x:c>
      <x:c r="F47" s="50" t="str">
        <x:f>IFERROR(VLOOKUP(D47,Inventory!$B:$D,3,FALSE),"")</x:f>
      </x:c>
      <x:c r="G47" s="65" t="n">
        <x:v>0</x:v>
      </x:c>
      <x:c r="H47" s="66" t="n">
        <x:v>0</x:v>
      </x:c>
      <x:c r="I47" s="66" t="n">
        <x:f>G47*H47</x:f>
        <x:v>0</x:v>
      </x:c>
      <x:c r="J47" s="66" t="str">
        <x:f>IFERROR(VLOOKUP(D47,Inventory!$B:$F,4,FALSE),0)</x:f>
      </x:c>
      <x:c r="K47" s="66" t="n">
        <x:f>H47-J47</x:f>
        <x:v>0</x:v>
      </x:c>
      <x:c r="L47" s="66" t="n">
        <x:f>K47*G47</x:f>
        <x:v>0</x:v>
      </x:c>
      <x:c r="M47" s="50"/>
      <x:c r="N47" s="66"/>
      <x:c r="O47" s="50"/>
    </x:row>
    <x:row r="48">
      <x:c r="A48" s="50"/>
      <x:c r="B48" s="64"/>
      <x:c r="C48" s="50"/>
      <x:c r="D48" s="50"/>
      <x:c r="E48" s="50" t="str">
        <x:f>IFERROR(VLOOKUP(D48,Inventory!$B:$D,2,FALSE),"")</x:f>
      </x:c>
      <x:c r="F48" s="50" t="str">
        <x:f>IFERROR(VLOOKUP(D48,Inventory!$B:$D,3,FALSE),"")</x:f>
      </x:c>
      <x:c r="G48" s="65" t="n">
        <x:v>0</x:v>
      </x:c>
      <x:c r="H48" s="66" t="n">
        <x:v>0</x:v>
      </x:c>
      <x:c r="I48" s="66" t="n">
        <x:f>G48*H48</x:f>
        <x:v>0</x:v>
      </x:c>
      <x:c r="J48" s="66" t="str">
        <x:f>IFERROR(VLOOKUP(D48,Inventory!$B:$F,4,FALSE),0)</x:f>
      </x:c>
      <x:c r="K48" s="66" t="n">
        <x:f>H48-J48</x:f>
        <x:v>0</x:v>
      </x:c>
      <x:c r="L48" s="66" t="n">
        <x:f>K48*G48</x:f>
        <x:v>0</x:v>
      </x:c>
      <x:c r="M48" s="50"/>
      <x:c r="N48" s="66"/>
      <x:c r="O48" s="50"/>
    </x:row>
    <x:row r="49">
      <x:c r="A49" s="50"/>
      <x:c r="B49" s="64"/>
      <x:c r="C49" s="50"/>
      <x:c r="D49" s="50"/>
      <x:c r="E49" s="50" t="str">
        <x:f>IFERROR(VLOOKUP(D49,Inventory!$B:$D,2,FALSE),"")</x:f>
      </x:c>
      <x:c r="F49" s="50" t="str">
        <x:f>IFERROR(VLOOKUP(D49,Inventory!$B:$D,3,FALSE),"")</x:f>
      </x:c>
      <x:c r="G49" s="65" t="n">
        <x:v>0</x:v>
      </x:c>
      <x:c r="H49" s="66" t="n">
        <x:v>0</x:v>
      </x:c>
      <x:c r="I49" s="66" t="n">
        <x:f>G49*H49</x:f>
        <x:v>0</x:v>
      </x:c>
      <x:c r="J49" s="66" t="str">
        <x:f>IFERROR(VLOOKUP(D49,Inventory!$B:$F,4,FALSE),0)</x:f>
      </x:c>
      <x:c r="K49" s="66" t="n">
        <x:f>H49-J49</x:f>
        <x:v>0</x:v>
      </x:c>
      <x:c r="L49" s="66" t="n">
        <x:f>K49*G49</x:f>
        <x:v>0</x:v>
      </x:c>
      <x:c r="M49" s="50"/>
      <x:c r="N49" s="66"/>
      <x:c r="O49" s="50"/>
    </x:row>
    <x:row r="50">
      <x:c r="A50" s="50"/>
      <x:c r="B50" s="64"/>
      <x:c r="C50" s="50"/>
      <x:c r="D50" s="50"/>
      <x:c r="E50" s="50" t="str">
        <x:f>IFERROR(VLOOKUP(D50,Inventory!$B:$D,2,FALSE),"")</x:f>
      </x:c>
      <x:c r="F50" s="50" t="str">
        <x:f>IFERROR(VLOOKUP(D50,Inventory!$B:$D,3,FALSE),"")</x:f>
      </x:c>
      <x:c r="G50" s="65" t="n">
        <x:v>0</x:v>
      </x:c>
      <x:c r="H50" s="66" t="n">
        <x:v>0</x:v>
      </x:c>
      <x:c r="I50" s="66" t="n">
        <x:f>G50*H50</x:f>
        <x:v>0</x:v>
      </x:c>
      <x:c r="J50" s="66" t="str">
        <x:f>IFERROR(VLOOKUP(D50,Inventory!$B:$F,4,FALSE),0)</x:f>
      </x:c>
      <x:c r="K50" s="66" t="n">
        <x:f>H50-J50</x:f>
        <x:v>0</x:v>
      </x:c>
      <x:c r="L50" s="66" t="n">
        <x:f>K50*G50</x:f>
        <x:v>0</x:v>
      </x:c>
      <x:c r="M50" s="50"/>
      <x:c r="N50" s="66"/>
      <x:c r="O50" s="50"/>
    </x:row>
    <x:row r="51">
      <x:c r="A51" s="50"/>
      <x:c r="B51" s="64"/>
      <x:c r="C51" s="50"/>
      <x:c r="D51" s="50"/>
      <x:c r="E51" s="50" t="str">
        <x:f>IFERROR(VLOOKUP(D51,Inventory!$B:$D,2,FALSE),"")</x:f>
      </x:c>
      <x:c r="F51" s="50" t="str">
        <x:f>IFERROR(VLOOKUP(D51,Inventory!$B:$D,3,FALSE),"")</x:f>
      </x:c>
      <x:c r="G51" s="65" t="n">
        <x:v>0</x:v>
      </x:c>
      <x:c r="H51" s="66" t="n">
        <x:v>0</x:v>
      </x:c>
      <x:c r="I51" s="66" t="n">
        <x:f>G51*H51</x:f>
        <x:v>0</x:v>
      </x:c>
      <x:c r="J51" s="66" t="str">
        <x:f>IFERROR(VLOOKUP(D51,Inventory!$B:$F,4,FALSE),0)</x:f>
      </x:c>
      <x:c r="K51" s="66" t="n">
        <x:f>H51-J51</x:f>
        <x:v>0</x:v>
      </x:c>
      <x:c r="L51" s="66" t="n">
        <x:f>K51*G51</x:f>
        <x:v>0</x:v>
      </x:c>
      <x:c r="M51" s="50"/>
      <x:c r="N51" s="66"/>
      <x:c r="O51" s="50"/>
    </x:row>
    <x:row r="52">
      <x:c r="A52" s="50"/>
      <x:c r="B52" s="64"/>
      <x:c r="C52" s="50"/>
      <x:c r="D52" s="50"/>
      <x:c r="E52" s="50" t="str">
        <x:f>IFERROR(VLOOKUP(D52,Inventory!$B:$D,2,FALSE),"")</x:f>
      </x:c>
      <x:c r="F52" s="50" t="str">
        <x:f>IFERROR(VLOOKUP(D52,Inventory!$B:$D,3,FALSE),"")</x:f>
      </x:c>
      <x:c r="G52" s="65" t="n">
        <x:v>0</x:v>
      </x:c>
      <x:c r="H52" s="66" t="n">
        <x:v>0</x:v>
      </x:c>
      <x:c r="I52" s="66" t="n">
        <x:f>G52*H52</x:f>
        <x:v>0</x:v>
      </x:c>
      <x:c r="J52" s="66" t="str">
        <x:f>IFERROR(VLOOKUP(D52,Inventory!$B:$F,4,FALSE),0)</x:f>
      </x:c>
      <x:c r="K52" s="66" t="n">
        <x:f>H52-J52</x:f>
        <x:v>0</x:v>
      </x:c>
      <x:c r="L52" s="66" t="n">
        <x:f>K52*G52</x:f>
        <x:v>0</x:v>
      </x:c>
      <x:c r="M52" s="50"/>
      <x:c r="N52" s="66"/>
      <x:c r="O52" s="50"/>
    </x:row>
    <x:row r="53">
      <x:c r="A53" s="50"/>
      <x:c r="B53" s="64"/>
      <x:c r="C53" s="50"/>
      <x:c r="D53" s="50"/>
      <x:c r="E53" s="50" t="str">
        <x:f>IFERROR(VLOOKUP(D53,Inventory!$B:$D,2,FALSE),"")</x:f>
      </x:c>
      <x:c r="F53" s="50" t="str">
        <x:f>IFERROR(VLOOKUP(D53,Inventory!$B:$D,3,FALSE),"")</x:f>
      </x:c>
      <x:c r="G53" s="65" t="n">
        <x:v>0</x:v>
      </x:c>
      <x:c r="H53" s="66" t="n">
        <x:v>0</x:v>
      </x:c>
      <x:c r="I53" s="66" t="n">
        <x:f>G53*H53</x:f>
        <x:v>0</x:v>
      </x:c>
      <x:c r="J53" s="66" t="str">
        <x:f>IFERROR(VLOOKUP(D53,Inventory!$B:$F,4,FALSE),0)</x:f>
      </x:c>
      <x:c r="K53" s="66" t="n">
        <x:f>H53-J53</x:f>
        <x:v>0</x:v>
      </x:c>
      <x:c r="L53" s="66" t="n">
        <x:f>K53*G53</x:f>
        <x:v>0</x:v>
      </x:c>
      <x:c r="M53" s="50"/>
      <x:c r="N53" s="66"/>
      <x:c r="O53" s="50"/>
    </x:row>
    <x:row r="54">
      <x:c r="A54" s="50"/>
      <x:c r="B54" s="64"/>
      <x:c r="C54" s="50"/>
      <x:c r="D54" s="50"/>
      <x:c r="E54" s="50" t="str">
        <x:f>IFERROR(VLOOKUP(D54,Inventory!$B:$D,2,FALSE),"")</x:f>
      </x:c>
      <x:c r="F54" s="50" t="str">
        <x:f>IFERROR(VLOOKUP(D54,Inventory!$B:$D,3,FALSE),"")</x:f>
      </x:c>
      <x:c r="G54" s="65" t="n">
        <x:v>0</x:v>
      </x:c>
      <x:c r="H54" s="66" t="n">
        <x:v>0</x:v>
      </x:c>
      <x:c r="I54" s="66" t="n">
        <x:f>G54*H54</x:f>
        <x:v>0</x:v>
      </x:c>
      <x:c r="J54" s="66" t="str">
        <x:f>IFERROR(VLOOKUP(D54,Inventory!$B:$F,4,FALSE),0)</x:f>
      </x:c>
      <x:c r="K54" s="66" t="n">
        <x:f>H54-J54</x:f>
        <x:v>0</x:v>
      </x:c>
      <x:c r="L54" s="66" t="n">
        <x:f>K54*G54</x:f>
        <x:v>0</x:v>
      </x:c>
      <x:c r="M54" s="50"/>
      <x:c r="N54" s="66"/>
      <x:c r="O54" s="50"/>
    </x:row>
    <x:row r="55">
      <x:c r="A55" s="50"/>
      <x:c r="B55" s="64"/>
      <x:c r="C55" s="50"/>
      <x:c r="D55" s="50"/>
      <x:c r="E55" s="50" t="str">
        <x:f>IFERROR(VLOOKUP(D55,Inventory!$B:$D,2,FALSE),"")</x:f>
      </x:c>
      <x:c r="F55" s="50" t="str">
        <x:f>IFERROR(VLOOKUP(D55,Inventory!$B:$D,3,FALSE),"")</x:f>
      </x:c>
      <x:c r="G55" s="65" t="n">
        <x:v>0</x:v>
      </x:c>
      <x:c r="H55" s="66" t="n">
        <x:v>0</x:v>
      </x:c>
      <x:c r="I55" s="66" t="n">
        <x:f>G55*H55</x:f>
        <x:v>0</x:v>
      </x:c>
      <x:c r="J55" s="66" t="str">
        <x:f>IFERROR(VLOOKUP(D55,Inventory!$B:$F,4,FALSE),0)</x:f>
      </x:c>
      <x:c r="K55" s="66" t="n">
        <x:f>H55-J55</x:f>
        <x:v>0</x:v>
      </x:c>
      <x:c r="L55" s="66" t="n">
        <x:f>K55*G55</x:f>
        <x:v>0</x:v>
      </x:c>
      <x:c r="M55" s="50"/>
      <x:c r="N55" s="66"/>
      <x:c r="O55" s="50"/>
    </x:row>
    <x:row r="56">
      <x:c r="A56" s="50"/>
      <x:c r="B56" s="64"/>
      <x:c r="C56" s="50"/>
      <x:c r="D56" s="50"/>
      <x:c r="E56" s="50" t="str">
        <x:f>IFERROR(VLOOKUP(D56,Inventory!$B:$D,2,FALSE),"")</x:f>
      </x:c>
      <x:c r="F56" s="50" t="str">
        <x:f>IFERROR(VLOOKUP(D56,Inventory!$B:$D,3,FALSE),"")</x:f>
      </x:c>
      <x:c r="G56" s="65" t="n">
        <x:v>0</x:v>
      </x:c>
      <x:c r="H56" s="66" t="n">
        <x:v>0</x:v>
      </x:c>
      <x:c r="I56" s="66" t="n">
        <x:f>G56*H56</x:f>
        <x:v>0</x:v>
      </x:c>
      <x:c r="J56" s="66" t="str">
        <x:f>IFERROR(VLOOKUP(D56,Inventory!$B:$F,4,FALSE),0)</x:f>
      </x:c>
      <x:c r="K56" s="66" t="n">
        <x:f>H56-J56</x:f>
        <x:v>0</x:v>
      </x:c>
      <x:c r="L56" s="66" t="n">
        <x:f>K56*G56</x:f>
        <x:v>0</x:v>
      </x:c>
      <x:c r="M56" s="50"/>
      <x:c r="N56" s="66"/>
      <x:c r="O56" s="50"/>
    </x:row>
    <x:row r="57">
      <x:c r="A57" s="50"/>
      <x:c r="B57" s="64"/>
      <x:c r="C57" s="50"/>
      <x:c r="D57" s="50"/>
      <x:c r="E57" s="50" t="str">
        <x:f>IFERROR(VLOOKUP(D57,Inventory!$B:$D,2,FALSE),"")</x:f>
      </x:c>
      <x:c r="F57" s="50" t="str">
        <x:f>IFERROR(VLOOKUP(D57,Inventory!$B:$D,3,FALSE),"")</x:f>
      </x:c>
      <x:c r="G57" s="65" t="n">
        <x:v>0</x:v>
      </x:c>
      <x:c r="H57" s="66" t="n">
        <x:v>0</x:v>
      </x:c>
      <x:c r="I57" s="66" t="n">
        <x:f>G57*H57</x:f>
        <x:v>0</x:v>
      </x:c>
      <x:c r="J57" s="66" t="str">
        <x:f>IFERROR(VLOOKUP(D57,Inventory!$B:$F,4,FALSE),0)</x:f>
      </x:c>
      <x:c r="K57" s="66" t="n">
        <x:f>H57-J57</x:f>
        <x:v>0</x:v>
      </x:c>
      <x:c r="L57" s="66" t="n">
        <x:f>K57*G57</x:f>
        <x:v>0</x:v>
      </x:c>
      <x:c r="M57" s="50"/>
      <x:c r="N57" s="66"/>
      <x:c r="O57" s="50"/>
    </x:row>
    <x:row r="58">
      <x:c r="A58" s="50"/>
      <x:c r="B58" s="64"/>
      <x:c r="C58" s="50"/>
      <x:c r="D58" s="50"/>
      <x:c r="E58" s="50" t="str">
        <x:f>IFERROR(VLOOKUP(D58,Inventory!$B:$D,2,FALSE),"")</x:f>
      </x:c>
      <x:c r="F58" s="50" t="str">
        <x:f>IFERROR(VLOOKUP(D58,Inventory!$B:$D,3,FALSE),"")</x:f>
      </x:c>
      <x:c r="G58" s="65" t="n">
        <x:v>0</x:v>
      </x:c>
      <x:c r="H58" s="66" t="n">
        <x:v>0</x:v>
      </x:c>
      <x:c r="I58" s="66" t="n">
        <x:f>G58*H58</x:f>
        <x:v>0</x:v>
      </x:c>
      <x:c r="J58" s="66" t="str">
        <x:f>IFERROR(VLOOKUP(D58,Inventory!$B:$F,4,FALSE),0)</x:f>
      </x:c>
      <x:c r="K58" s="66" t="n">
        <x:f>H58-J58</x:f>
        <x:v>0</x:v>
      </x:c>
      <x:c r="L58" s="66" t="n">
        <x:f>K58*G58</x:f>
        <x:v>0</x:v>
      </x:c>
      <x:c r="M58" s="50"/>
      <x:c r="N58" s="66"/>
      <x:c r="O58" s="50"/>
    </x:row>
    <x:row r="59">
      <x:c r="A59" s="50"/>
      <x:c r="B59" s="64"/>
      <x:c r="C59" s="50"/>
      <x:c r="D59" s="50"/>
      <x:c r="E59" s="50" t="str">
        <x:f>IFERROR(VLOOKUP(D59,Inventory!$B:$D,2,FALSE),"")</x:f>
      </x:c>
      <x:c r="F59" s="50" t="str">
        <x:f>IFERROR(VLOOKUP(D59,Inventory!$B:$D,3,FALSE),"")</x:f>
      </x:c>
      <x:c r="G59" s="65" t="n">
        <x:v>0</x:v>
      </x:c>
      <x:c r="H59" s="66" t="n">
        <x:v>0</x:v>
      </x:c>
      <x:c r="I59" s="66" t="n">
        <x:f>G59*H59</x:f>
        <x:v>0</x:v>
      </x:c>
      <x:c r="J59" s="66" t="str">
        <x:f>IFERROR(VLOOKUP(D59,Inventory!$B:$F,4,FALSE),0)</x:f>
      </x:c>
      <x:c r="K59" s="66" t="n">
        <x:f>H59-J59</x:f>
        <x:v>0</x:v>
      </x:c>
      <x:c r="L59" s="66" t="n">
        <x:f>K59*G59</x:f>
        <x:v>0</x:v>
      </x:c>
      <x:c r="M59" s="50"/>
      <x:c r="N59" s="66"/>
      <x:c r="O59" s="50"/>
    </x:row>
    <x:row r="60">
      <x:c r="A60" s="50"/>
      <x:c r="B60" s="64"/>
      <x:c r="C60" s="50"/>
      <x:c r="D60" s="50"/>
      <x:c r="E60" s="50" t="str">
        <x:f>IFERROR(VLOOKUP(D60,Inventory!$B:$D,2,FALSE),"")</x:f>
      </x:c>
      <x:c r="F60" s="50" t="str">
        <x:f>IFERROR(VLOOKUP(D60,Inventory!$B:$D,3,FALSE),"")</x:f>
      </x:c>
      <x:c r="G60" s="65" t="n">
        <x:v>0</x:v>
      </x:c>
      <x:c r="H60" s="66" t="n">
        <x:v>0</x:v>
      </x:c>
      <x:c r="I60" s="66" t="n">
        <x:f>G60*H60</x:f>
        <x:v>0</x:v>
      </x:c>
      <x:c r="J60" s="66" t="str">
        <x:f>IFERROR(VLOOKUP(D60,Inventory!$B:$F,4,FALSE),0)</x:f>
      </x:c>
      <x:c r="K60" s="66" t="n">
        <x:f>H60-J60</x:f>
        <x:v>0</x:v>
      </x:c>
      <x:c r="L60" s="66" t="n">
        <x:f>K60*G60</x:f>
        <x:v>0</x:v>
      </x:c>
      <x:c r="M60" s="50"/>
      <x:c r="N60" s="66"/>
      <x:c r="O60" s="50"/>
    </x:row>
    <x:row r="61">
      <x:c r="A61" s="50"/>
      <x:c r="B61" s="64"/>
      <x:c r="C61" s="50"/>
      <x:c r="D61" s="50"/>
      <x:c r="E61" s="50" t="str">
        <x:f>IFERROR(VLOOKUP(D61,Inventory!$B:$D,2,FALSE),"")</x:f>
      </x:c>
      <x:c r="F61" s="50" t="str">
        <x:f>IFERROR(VLOOKUP(D61,Inventory!$B:$D,3,FALSE),"")</x:f>
      </x:c>
      <x:c r="G61" s="65" t="n">
        <x:v>0</x:v>
      </x:c>
      <x:c r="H61" s="66" t="n">
        <x:v>0</x:v>
      </x:c>
      <x:c r="I61" s="66" t="n">
        <x:f>G61*H61</x:f>
        <x:v>0</x:v>
      </x:c>
      <x:c r="J61" s="66" t="str">
        <x:f>IFERROR(VLOOKUP(D61,Inventory!$B:$F,4,FALSE),0)</x:f>
      </x:c>
      <x:c r="K61" s="66" t="n">
        <x:f>H61-J61</x:f>
        <x:v>0</x:v>
      </x:c>
      <x:c r="L61" s="66" t="n">
        <x:f>K61*G61</x:f>
        <x:v>0</x:v>
      </x:c>
      <x:c r="M61" s="50"/>
      <x:c r="N61" s="66"/>
      <x:c r="O61" s="50"/>
    </x:row>
    <x:row r="62">
      <x:c r="A62" s="50"/>
      <x:c r="B62" s="64"/>
      <x:c r="C62" s="50"/>
      <x:c r="D62" s="50"/>
      <x:c r="E62" s="50" t="str">
        <x:f>IFERROR(VLOOKUP(D62,Inventory!$B:$D,2,FALSE),"")</x:f>
      </x:c>
      <x:c r="F62" s="50" t="str">
        <x:f>IFERROR(VLOOKUP(D62,Inventory!$B:$D,3,FALSE),"")</x:f>
      </x:c>
      <x:c r="G62" s="65" t="n">
        <x:v>0</x:v>
      </x:c>
      <x:c r="H62" s="66" t="n">
        <x:v>0</x:v>
      </x:c>
      <x:c r="I62" s="66" t="n">
        <x:f>G62*H62</x:f>
        <x:v>0</x:v>
      </x:c>
      <x:c r="J62" s="66" t="str">
        <x:f>IFERROR(VLOOKUP(D62,Inventory!$B:$F,4,FALSE),0)</x:f>
      </x:c>
      <x:c r="K62" s="66" t="n">
        <x:f>H62-J62</x:f>
        <x:v>0</x:v>
      </x:c>
      <x:c r="L62" s="66" t="n">
        <x:f>K62*G62</x:f>
        <x:v>0</x:v>
      </x:c>
      <x:c r="M62" s="50"/>
      <x:c r="N62" s="66"/>
      <x:c r="O62" s="50"/>
    </x:row>
    <x:row r="63">
      <x:c r="A63" s="50"/>
      <x:c r="B63" s="64"/>
      <x:c r="C63" s="50"/>
      <x:c r="D63" s="50"/>
      <x:c r="E63" s="50" t="str">
        <x:f>IFERROR(VLOOKUP(D63,Inventory!$B:$D,2,FALSE),"")</x:f>
      </x:c>
      <x:c r="F63" s="50" t="str">
        <x:f>IFERROR(VLOOKUP(D63,Inventory!$B:$D,3,FALSE),"")</x:f>
      </x:c>
      <x:c r="G63" s="65" t="n">
        <x:v>0</x:v>
      </x:c>
      <x:c r="H63" s="66" t="n">
        <x:v>0</x:v>
      </x:c>
      <x:c r="I63" s="66" t="n">
        <x:f>G63*H63</x:f>
        <x:v>0</x:v>
      </x:c>
      <x:c r="J63" s="66" t="str">
        <x:f>IFERROR(VLOOKUP(D63,Inventory!$B:$F,4,FALSE),0)</x:f>
      </x:c>
      <x:c r="K63" s="66" t="n">
        <x:f>H63-J63</x:f>
        <x:v>0</x:v>
      </x:c>
      <x:c r="L63" s="66" t="n">
        <x:f>K63*G63</x:f>
        <x:v>0</x:v>
      </x:c>
      <x:c r="M63" s="50"/>
      <x:c r="N63" s="66"/>
      <x:c r="O63" s="50"/>
    </x:row>
    <x:row r="64">
      <x:c r="A64" s="50"/>
      <x:c r="B64" s="64"/>
      <x:c r="C64" s="50"/>
      <x:c r="D64" s="50"/>
      <x:c r="E64" s="50" t="str">
        <x:f>IFERROR(VLOOKUP(D64,Inventory!$B:$D,2,FALSE),"")</x:f>
      </x:c>
      <x:c r="F64" s="50" t="str">
        <x:f>IFERROR(VLOOKUP(D64,Inventory!$B:$D,3,FALSE),"")</x:f>
      </x:c>
      <x:c r="G64" s="65" t="n">
        <x:v>0</x:v>
      </x:c>
      <x:c r="H64" s="66" t="n">
        <x:v>0</x:v>
      </x:c>
      <x:c r="I64" s="66" t="n">
        <x:f>G64*H64</x:f>
        <x:v>0</x:v>
      </x:c>
      <x:c r="J64" s="66" t="str">
        <x:f>IFERROR(VLOOKUP(D64,Inventory!$B:$F,4,FALSE),0)</x:f>
      </x:c>
      <x:c r="K64" s="66" t="n">
        <x:f>H64-J64</x:f>
        <x:v>0</x:v>
      </x:c>
      <x:c r="L64" s="66" t="n">
        <x:f>K64*G64</x:f>
        <x:v>0</x:v>
      </x:c>
      <x:c r="M64" s="50"/>
      <x:c r="N64" s="66"/>
      <x:c r="O64" s="50"/>
    </x:row>
    <x:row r="65">
      <x:c r="A65" s="50"/>
      <x:c r="B65" s="64"/>
      <x:c r="C65" s="50"/>
      <x:c r="D65" s="50"/>
      <x:c r="E65" s="50" t="str">
        <x:f>IFERROR(VLOOKUP(D65,Inventory!$B:$D,2,FALSE),"")</x:f>
      </x:c>
      <x:c r="F65" s="50" t="str">
        <x:f>IFERROR(VLOOKUP(D65,Inventory!$B:$D,3,FALSE),"")</x:f>
      </x:c>
      <x:c r="G65" s="65" t="n">
        <x:v>0</x:v>
      </x:c>
      <x:c r="H65" s="66" t="n">
        <x:v>0</x:v>
      </x:c>
      <x:c r="I65" s="66" t="n">
        <x:f>G65*H65</x:f>
        <x:v>0</x:v>
      </x:c>
      <x:c r="J65" s="66" t="str">
        <x:f>IFERROR(VLOOKUP(D65,Inventory!$B:$F,4,FALSE),0)</x:f>
      </x:c>
      <x:c r="K65" s="66" t="n">
        <x:f>H65-J65</x:f>
        <x:v>0</x:v>
      </x:c>
      <x:c r="L65" s="66" t="n">
        <x:f>K65*G65</x:f>
        <x:v>0</x:v>
      </x:c>
      <x:c r="M65" s="50"/>
      <x:c r="N65" s="66"/>
      <x:c r="O65" s="50"/>
    </x:row>
    <x:row r="66">
      <x:c r="A66" s="50"/>
      <x:c r="B66" s="64"/>
      <x:c r="C66" s="50"/>
      <x:c r="D66" s="50"/>
      <x:c r="E66" s="50" t="str">
        <x:f>IFERROR(VLOOKUP(D66,Inventory!$B:$D,2,FALSE),"")</x:f>
      </x:c>
      <x:c r="F66" s="50" t="str">
        <x:f>IFERROR(VLOOKUP(D66,Inventory!$B:$D,3,FALSE),"")</x:f>
      </x:c>
      <x:c r="G66" s="65" t="n">
        <x:v>0</x:v>
      </x:c>
      <x:c r="H66" s="66" t="n">
        <x:v>0</x:v>
      </x:c>
      <x:c r="I66" s="66" t="n">
        <x:f>G66*H66</x:f>
        <x:v>0</x:v>
      </x:c>
      <x:c r="J66" s="66" t="str">
        <x:f>IFERROR(VLOOKUP(D66,Inventory!$B:$F,4,FALSE),0)</x:f>
      </x:c>
      <x:c r="K66" s="66" t="n">
        <x:f>H66-J66</x:f>
        <x:v>0</x:v>
      </x:c>
      <x:c r="L66" s="66" t="n">
        <x:f>K66*G66</x:f>
        <x:v>0</x:v>
      </x:c>
      <x:c r="M66" s="50"/>
      <x:c r="N66" s="66"/>
      <x:c r="O66" s="50"/>
    </x:row>
    <x:row r="67">
      <x:c r="A67" s="50"/>
      <x:c r="B67" s="64"/>
      <x:c r="C67" s="50"/>
      <x:c r="D67" s="50"/>
      <x:c r="E67" s="50" t="str">
        <x:f>IFERROR(VLOOKUP(D67,Inventory!$B:$D,2,FALSE),"")</x:f>
      </x:c>
      <x:c r="F67" s="50" t="str">
        <x:f>IFERROR(VLOOKUP(D67,Inventory!$B:$D,3,FALSE),"")</x:f>
      </x:c>
      <x:c r="G67" s="65" t="n">
        <x:v>0</x:v>
      </x:c>
      <x:c r="H67" s="66" t="n">
        <x:v>0</x:v>
      </x:c>
      <x:c r="I67" s="66" t="n">
        <x:f>G67*H67</x:f>
        <x:v>0</x:v>
      </x:c>
      <x:c r="J67" s="66" t="str">
        <x:f>IFERROR(VLOOKUP(D67,Inventory!$B:$F,4,FALSE),0)</x:f>
      </x:c>
      <x:c r="K67" s="66" t="n">
        <x:f>H67-J67</x:f>
        <x:v>0</x:v>
      </x:c>
      <x:c r="L67" s="66" t="n">
        <x:f>K67*G67</x:f>
        <x:v>0</x:v>
      </x:c>
      <x:c r="M67" s="50"/>
      <x:c r="N67" s="66"/>
      <x:c r="O67" s="50"/>
    </x:row>
    <x:row r="68">
      <x:c r="A68" s="50"/>
      <x:c r="B68" s="64"/>
      <x:c r="C68" s="50"/>
      <x:c r="D68" s="50"/>
      <x:c r="E68" s="50" t="str">
        <x:f>IFERROR(VLOOKUP(D68,Inventory!$B:$D,2,FALSE),"")</x:f>
      </x:c>
      <x:c r="F68" s="50" t="str">
        <x:f>IFERROR(VLOOKUP(D68,Inventory!$B:$D,3,FALSE),"")</x:f>
      </x:c>
      <x:c r="G68" s="65" t="n">
        <x:v>0</x:v>
      </x:c>
      <x:c r="H68" s="66" t="n">
        <x:v>0</x:v>
      </x:c>
      <x:c r="I68" s="66" t="n">
        <x:f>G68*H68</x:f>
        <x:v>0</x:v>
      </x:c>
      <x:c r="J68" s="66" t="str">
        <x:f>IFERROR(VLOOKUP(D68,Inventory!$B:$F,4,FALSE),0)</x:f>
      </x:c>
      <x:c r="K68" s="66" t="n">
        <x:f>H68-J68</x:f>
        <x:v>0</x:v>
      </x:c>
      <x:c r="L68" s="66" t="n">
        <x:f>K68*G68</x:f>
        <x:v>0</x:v>
      </x:c>
      <x:c r="M68" s="50"/>
      <x:c r="N68" s="66"/>
      <x:c r="O68" s="50"/>
    </x:row>
    <x:row r="69">
      <x:c r="A69" s="50"/>
      <x:c r="B69" s="64"/>
      <x:c r="C69" s="50"/>
      <x:c r="D69" s="50"/>
      <x:c r="E69" s="50" t="str">
        <x:f>IFERROR(VLOOKUP(D69,Inventory!$B:$D,2,FALSE),"")</x:f>
      </x:c>
      <x:c r="F69" s="50" t="str">
        <x:f>IFERROR(VLOOKUP(D69,Inventory!$B:$D,3,FALSE),"")</x:f>
      </x:c>
      <x:c r="G69" s="65" t="n">
        <x:v>0</x:v>
      </x:c>
      <x:c r="H69" s="66" t="n">
        <x:v>0</x:v>
      </x:c>
      <x:c r="I69" s="66" t="n">
        <x:f>G69*H69</x:f>
        <x:v>0</x:v>
      </x:c>
      <x:c r="J69" s="66" t="str">
        <x:f>IFERROR(VLOOKUP(D69,Inventory!$B:$F,4,FALSE),0)</x:f>
      </x:c>
      <x:c r="K69" s="66" t="n">
        <x:f>H69-J69</x:f>
        <x:v>0</x:v>
      </x:c>
      <x:c r="L69" s="66" t="n">
        <x:f>K69*G69</x:f>
        <x:v>0</x:v>
      </x:c>
      <x:c r="M69" s="50"/>
      <x:c r="N69" s="66"/>
      <x:c r="O69" s="50"/>
    </x:row>
    <x:row r="70">
      <x:c r="A70" s="50"/>
      <x:c r="B70" s="64"/>
      <x:c r="C70" s="50"/>
      <x:c r="D70" s="50"/>
      <x:c r="E70" s="50" t="str">
        <x:f>IFERROR(VLOOKUP(D70,Inventory!$B:$D,2,FALSE),"")</x:f>
      </x:c>
      <x:c r="F70" s="50" t="str">
        <x:f>IFERROR(VLOOKUP(D70,Inventory!$B:$D,3,FALSE),"")</x:f>
      </x:c>
      <x:c r="G70" s="65" t="n">
        <x:v>0</x:v>
      </x:c>
      <x:c r="H70" s="66" t="n">
        <x:v>0</x:v>
      </x:c>
      <x:c r="I70" s="66" t="n">
        <x:f>G70*H70</x:f>
        <x:v>0</x:v>
      </x:c>
      <x:c r="J70" s="66" t="str">
        <x:f>IFERROR(VLOOKUP(D70,Inventory!$B:$F,4,FALSE),0)</x:f>
      </x:c>
      <x:c r="K70" s="66" t="n">
        <x:f>H70-J70</x:f>
        <x:v>0</x:v>
      </x:c>
      <x:c r="L70" s="66" t="n">
        <x:f>K70*G70</x:f>
        <x:v>0</x:v>
      </x:c>
      <x:c r="M70" s="50"/>
      <x:c r="N70" s="66"/>
      <x:c r="O70" s="50"/>
    </x:row>
    <x:row r="71">
      <x:c r="A71" s="50"/>
      <x:c r="B71" s="64"/>
      <x:c r="C71" s="50"/>
      <x:c r="D71" s="50"/>
      <x:c r="E71" s="50" t="str">
        <x:f>IFERROR(VLOOKUP(D71,Inventory!$B:$D,2,FALSE),"")</x:f>
      </x:c>
      <x:c r="F71" s="50" t="str">
        <x:f>IFERROR(VLOOKUP(D71,Inventory!$B:$D,3,FALSE),"")</x:f>
      </x:c>
      <x:c r="G71" s="65" t="n">
        <x:v>0</x:v>
      </x:c>
      <x:c r="H71" s="66" t="n">
        <x:v>0</x:v>
      </x:c>
      <x:c r="I71" s="66" t="n">
        <x:f>G71*H71</x:f>
        <x:v>0</x:v>
      </x:c>
      <x:c r="J71" s="66" t="str">
        <x:f>IFERROR(VLOOKUP(D71,Inventory!$B:$F,4,FALSE),0)</x:f>
      </x:c>
      <x:c r="K71" s="66" t="n">
        <x:f>H71-J71</x:f>
        <x:v>0</x:v>
      </x:c>
      <x:c r="L71" s="66" t="n">
        <x:f>K71*G71</x:f>
        <x:v>0</x:v>
      </x:c>
      <x:c r="M71" s="50"/>
      <x:c r="N71" s="66"/>
      <x:c r="O71" s="50"/>
    </x:row>
    <x:row r="72">
      <x:c r="A72" s="50"/>
      <x:c r="B72" s="64"/>
      <x:c r="C72" s="50"/>
      <x:c r="D72" s="50"/>
      <x:c r="E72" s="50" t="str">
        <x:f>IFERROR(VLOOKUP(D72,Inventory!$B:$D,2,FALSE),"")</x:f>
      </x:c>
      <x:c r="F72" s="50" t="str">
        <x:f>IFERROR(VLOOKUP(D72,Inventory!$B:$D,3,FALSE),"")</x:f>
      </x:c>
      <x:c r="G72" s="65" t="n">
        <x:v>0</x:v>
      </x:c>
      <x:c r="H72" s="66" t="n">
        <x:v>0</x:v>
      </x:c>
      <x:c r="I72" s="66" t="n">
        <x:f>G72*H72</x:f>
        <x:v>0</x:v>
      </x:c>
      <x:c r="J72" s="66" t="str">
        <x:f>IFERROR(VLOOKUP(D72,Inventory!$B:$F,4,FALSE),0)</x:f>
      </x:c>
      <x:c r="K72" s="66" t="n">
        <x:f>H72-J72</x:f>
        <x:v>0</x:v>
      </x:c>
      <x:c r="L72" s="66" t="n">
        <x:f>K72*G72</x:f>
        <x:v>0</x:v>
      </x:c>
      <x:c r="M72" s="50"/>
      <x:c r="N72" s="66"/>
      <x:c r="O72" s="50"/>
    </x:row>
    <x:row r="73">
      <x:c r="A73" s="50"/>
      <x:c r="B73" s="64"/>
      <x:c r="C73" s="50"/>
      <x:c r="D73" s="50"/>
      <x:c r="E73" s="50" t="str">
        <x:f>IFERROR(VLOOKUP(D73,Inventory!$B:$D,2,FALSE),"")</x:f>
      </x:c>
      <x:c r="F73" s="50" t="str">
        <x:f>IFERROR(VLOOKUP(D73,Inventory!$B:$D,3,FALSE),"")</x:f>
      </x:c>
      <x:c r="G73" s="65" t="n">
        <x:v>0</x:v>
      </x:c>
      <x:c r="H73" s="66" t="n">
        <x:v>0</x:v>
      </x:c>
      <x:c r="I73" s="66" t="n">
        <x:f>G73*H73</x:f>
        <x:v>0</x:v>
      </x:c>
      <x:c r="J73" s="66" t="str">
        <x:f>IFERROR(VLOOKUP(D73,Inventory!$B:$F,4,FALSE),0)</x:f>
      </x:c>
      <x:c r="K73" s="66" t="n">
        <x:f>H73-J73</x:f>
        <x:v>0</x:v>
      </x:c>
      <x:c r="L73" s="66" t="n">
        <x:f>K73*G73</x:f>
        <x:v>0</x:v>
      </x:c>
      <x:c r="M73" s="50"/>
      <x:c r="N73" s="66"/>
      <x:c r="O73" s="50"/>
    </x:row>
    <x:row r="74">
      <x:c r="A74" s="50"/>
      <x:c r="B74" s="64"/>
      <x:c r="C74" s="50"/>
      <x:c r="D74" s="50"/>
      <x:c r="E74" s="50" t="str">
        <x:f>IFERROR(VLOOKUP(D74,Inventory!$B:$D,2,FALSE),"")</x:f>
      </x:c>
      <x:c r="F74" s="50" t="str">
        <x:f>IFERROR(VLOOKUP(D74,Inventory!$B:$D,3,FALSE),"")</x:f>
      </x:c>
      <x:c r="G74" s="65" t="n">
        <x:v>0</x:v>
      </x:c>
      <x:c r="H74" s="66" t="n">
        <x:v>0</x:v>
      </x:c>
      <x:c r="I74" s="66" t="n">
        <x:f>G74*H74</x:f>
        <x:v>0</x:v>
      </x:c>
      <x:c r="J74" s="66" t="str">
        <x:f>IFERROR(VLOOKUP(D74,Inventory!$B:$F,4,FALSE),0)</x:f>
      </x:c>
      <x:c r="K74" s="66" t="n">
        <x:f>H74-J74</x:f>
        <x:v>0</x:v>
      </x:c>
      <x:c r="L74" s="66" t="n">
        <x:f>K74*G74</x:f>
        <x:v>0</x:v>
      </x:c>
      <x:c r="M74" s="50"/>
      <x:c r="N74" s="66"/>
      <x:c r="O74" s="50"/>
    </x:row>
    <x:row r="75">
      <x:c r="A75" s="50"/>
      <x:c r="B75" s="64"/>
      <x:c r="C75" s="50"/>
      <x:c r="D75" s="50"/>
      <x:c r="E75" s="50" t="str">
        <x:f>IFERROR(VLOOKUP(D75,Inventory!$B:$D,2,FALSE),"")</x:f>
      </x:c>
      <x:c r="F75" s="50" t="str">
        <x:f>IFERROR(VLOOKUP(D75,Inventory!$B:$D,3,FALSE),"")</x:f>
      </x:c>
      <x:c r="G75" s="65" t="n">
        <x:v>0</x:v>
      </x:c>
      <x:c r="H75" s="66" t="n">
        <x:v>0</x:v>
      </x:c>
      <x:c r="I75" s="66" t="n">
        <x:f>G75*H75</x:f>
        <x:v>0</x:v>
      </x:c>
      <x:c r="J75" s="66" t="str">
        <x:f>IFERROR(VLOOKUP(D75,Inventory!$B:$F,4,FALSE),0)</x:f>
      </x:c>
      <x:c r="K75" s="66" t="n">
        <x:f>H75-J75</x:f>
        <x:v>0</x:v>
      </x:c>
      <x:c r="L75" s="66" t="n">
        <x:f>K75*G75</x:f>
        <x:v>0</x:v>
      </x:c>
      <x:c r="M75" s="50"/>
      <x:c r="N75" s="66"/>
      <x:c r="O75" s="50"/>
    </x:row>
    <x:row r="76">
      <x:c r="A76" s="50"/>
      <x:c r="B76" s="64"/>
      <x:c r="C76" s="50"/>
      <x:c r="D76" s="50"/>
      <x:c r="E76" s="50" t="str">
        <x:f>IFERROR(VLOOKUP(D76,Inventory!$B:$D,2,FALSE),"")</x:f>
      </x:c>
      <x:c r="F76" s="50" t="str">
        <x:f>IFERROR(VLOOKUP(D76,Inventory!$B:$D,3,FALSE),"")</x:f>
      </x:c>
      <x:c r="G76" s="65" t="n">
        <x:v>0</x:v>
      </x:c>
      <x:c r="H76" s="66" t="n">
        <x:v>0</x:v>
      </x:c>
      <x:c r="I76" s="66" t="n">
        <x:f>G76*H76</x:f>
        <x:v>0</x:v>
      </x:c>
      <x:c r="J76" s="66" t="str">
        <x:f>IFERROR(VLOOKUP(D76,Inventory!$B:$F,4,FALSE),0)</x:f>
      </x:c>
      <x:c r="K76" s="66" t="n">
        <x:f>H76-J76</x:f>
        <x:v>0</x:v>
      </x:c>
      <x:c r="L76" s="66" t="n">
        <x:f>K76*G76</x:f>
        <x:v>0</x:v>
      </x:c>
      <x:c r="M76" s="50"/>
      <x:c r="N76" s="66"/>
      <x:c r="O76" s="50"/>
    </x:row>
    <x:row r="77">
      <x:c r="A77" s="50"/>
      <x:c r="B77" s="64"/>
      <x:c r="C77" s="50"/>
      <x:c r="D77" s="50"/>
      <x:c r="E77" s="50" t="str">
        <x:f>IFERROR(VLOOKUP(D77,Inventory!$B:$D,2,FALSE),"")</x:f>
      </x:c>
      <x:c r="F77" s="50" t="str">
        <x:f>IFERROR(VLOOKUP(D77,Inventory!$B:$D,3,FALSE),"")</x:f>
      </x:c>
      <x:c r="G77" s="65" t="n">
        <x:v>0</x:v>
      </x:c>
      <x:c r="H77" s="66" t="n">
        <x:v>0</x:v>
      </x:c>
      <x:c r="I77" s="66" t="n">
        <x:f>G77*H77</x:f>
        <x:v>0</x:v>
      </x:c>
      <x:c r="J77" s="66" t="str">
        <x:f>IFERROR(VLOOKUP(D77,Inventory!$B:$F,4,FALSE),0)</x:f>
      </x:c>
      <x:c r="K77" s="66" t="n">
        <x:f>H77-J77</x:f>
        <x:v>0</x:v>
      </x:c>
      <x:c r="L77" s="66" t="n">
        <x:f>K77*G77</x:f>
        <x:v>0</x:v>
      </x:c>
      <x:c r="M77" s="50"/>
      <x:c r="N77" s="66"/>
      <x:c r="O77" s="50"/>
    </x:row>
    <x:row r="78">
      <x:c r="A78" s="50"/>
      <x:c r="B78" s="64"/>
      <x:c r="C78" s="50"/>
      <x:c r="D78" s="50"/>
      <x:c r="E78" s="50" t="str">
        <x:f>IFERROR(VLOOKUP(D78,Inventory!$B:$D,2,FALSE),"")</x:f>
      </x:c>
      <x:c r="F78" s="50" t="str">
        <x:f>IFERROR(VLOOKUP(D78,Inventory!$B:$D,3,FALSE),"")</x:f>
      </x:c>
      <x:c r="G78" s="65" t="n">
        <x:v>0</x:v>
      </x:c>
      <x:c r="H78" s="66" t="n">
        <x:v>0</x:v>
      </x:c>
      <x:c r="I78" s="66" t="n">
        <x:f>G78*H78</x:f>
        <x:v>0</x:v>
      </x:c>
      <x:c r="J78" s="66" t="str">
        <x:f>IFERROR(VLOOKUP(D78,Inventory!$B:$F,4,FALSE),0)</x:f>
      </x:c>
      <x:c r="K78" s="66" t="n">
        <x:f>H78-J78</x:f>
        <x:v>0</x:v>
      </x:c>
      <x:c r="L78" s="66" t="n">
        <x:f>K78*G78</x:f>
        <x:v>0</x:v>
      </x:c>
      <x:c r="M78" s="50"/>
      <x:c r="N78" s="66"/>
      <x:c r="O78" s="50"/>
    </x:row>
    <x:row r="79">
      <x:c r="A79" s="50"/>
      <x:c r="B79" s="64"/>
      <x:c r="C79" s="50"/>
      <x:c r="D79" s="50"/>
      <x:c r="E79" s="50" t="str">
        <x:f>IFERROR(VLOOKUP(D79,Inventory!$B:$D,2,FALSE),"")</x:f>
      </x:c>
      <x:c r="F79" s="50" t="str">
        <x:f>IFERROR(VLOOKUP(D79,Inventory!$B:$D,3,FALSE),"")</x:f>
      </x:c>
      <x:c r="G79" s="65" t="n">
        <x:v>0</x:v>
      </x:c>
      <x:c r="H79" s="66" t="n">
        <x:v>0</x:v>
      </x:c>
      <x:c r="I79" s="66" t="n">
        <x:f>G79*H79</x:f>
        <x:v>0</x:v>
      </x:c>
      <x:c r="J79" s="66" t="str">
        <x:f>IFERROR(VLOOKUP(D79,Inventory!$B:$F,4,FALSE),0)</x:f>
      </x:c>
      <x:c r="K79" s="66" t="n">
        <x:f>H79-J79</x:f>
        <x:v>0</x:v>
      </x:c>
      <x:c r="L79" s="66" t="n">
        <x:f>K79*G79</x:f>
        <x:v>0</x:v>
      </x:c>
      <x:c r="M79" s="50"/>
      <x:c r="N79" s="66"/>
      <x:c r="O79" s="50"/>
    </x:row>
    <x:row r="80">
      <x:c r="A80" s="50"/>
      <x:c r="B80" s="64"/>
      <x:c r="C80" s="50"/>
      <x:c r="D80" s="50"/>
      <x:c r="E80" s="50" t="str">
        <x:f>IFERROR(VLOOKUP(D80,Inventory!$B:$D,2,FALSE),"")</x:f>
      </x:c>
      <x:c r="F80" s="50" t="str">
        <x:f>IFERROR(VLOOKUP(D80,Inventory!$B:$D,3,FALSE),"")</x:f>
      </x:c>
      <x:c r="G80" s="65" t="n">
        <x:v>0</x:v>
      </x:c>
      <x:c r="H80" s="66" t="n">
        <x:v>0</x:v>
      </x:c>
      <x:c r="I80" s="66" t="n">
        <x:f>G80*H80</x:f>
        <x:v>0</x:v>
      </x:c>
      <x:c r="J80" s="66" t="str">
        <x:f>IFERROR(VLOOKUP(D80,Inventory!$B:$F,4,FALSE),0)</x:f>
      </x:c>
      <x:c r="K80" s="66" t="n">
        <x:f>H80-J80</x:f>
        <x:v>0</x:v>
      </x:c>
      <x:c r="L80" s="66" t="n">
        <x:f>K80*G80</x:f>
        <x:v>0</x:v>
      </x:c>
      <x:c r="M80" s="50"/>
      <x:c r="N80" s="66"/>
      <x:c r="O80" s="50"/>
    </x:row>
    <x:row r="81">
      <x:c r="A81" s="50"/>
      <x:c r="B81" s="64"/>
      <x:c r="C81" s="50"/>
      <x:c r="D81" s="50"/>
      <x:c r="E81" s="50" t="str">
        <x:f>IFERROR(VLOOKUP(D81,Inventory!$B:$D,2,FALSE),"")</x:f>
      </x:c>
      <x:c r="F81" s="50" t="str">
        <x:f>IFERROR(VLOOKUP(D81,Inventory!$B:$D,3,FALSE),"")</x:f>
      </x:c>
      <x:c r="G81" s="65" t="n">
        <x:v>0</x:v>
      </x:c>
      <x:c r="H81" s="66" t="n">
        <x:v>0</x:v>
      </x:c>
      <x:c r="I81" s="66" t="n">
        <x:f>G81*H81</x:f>
        <x:v>0</x:v>
      </x:c>
      <x:c r="J81" s="66" t="str">
        <x:f>IFERROR(VLOOKUP(D81,Inventory!$B:$F,4,FALSE),0)</x:f>
      </x:c>
      <x:c r="K81" s="66" t="n">
        <x:f>H81-J81</x:f>
        <x:v>0</x:v>
      </x:c>
      <x:c r="L81" s="66" t="n">
        <x:f>K81*G81</x:f>
        <x:v>0</x:v>
      </x:c>
      <x:c r="M81" s="50"/>
      <x:c r="N81" s="66"/>
      <x:c r="O81" s="50"/>
    </x:row>
    <x:row r="82">
      <x:c r="A82" s="50"/>
      <x:c r="B82" s="64"/>
      <x:c r="C82" s="50"/>
      <x:c r="D82" s="50"/>
      <x:c r="E82" s="50" t="str">
        <x:f>IFERROR(VLOOKUP(D82,Inventory!$B:$D,2,FALSE),"")</x:f>
      </x:c>
      <x:c r="F82" s="50" t="str">
        <x:f>IFERROR(VLOOKUP(D82,Inventory!$B:$D,3,FALSE),"")</x:f>
      </x:c>
      <x:c r="G82" s="65" t="n">
        <x:v>0</x:v>
      </x:c>
      <x:c r="H82" s="66" t="n">
        <x:v>0</x:v>
      </x:c>
      <x:c r="I82" s="66" t="n">
        <x:f>G82*H82</x:f>
        <x:v>0</x:v>
      </x:c>
      <x:c r="J82" s="66" t="str">
        <x:f>IFERROR(VLOOKUP(D82,Inventory!$B:$F,4,FALSE),0)</x:f>
      </x:c>
      <x:c r="K82" s="66" t="n">
        <x:f>H82-J82</x:f>
        <x:v>0</x:v>
      </x:c>
      <x:c r="L82" s="66" t="n">
        <x:f>K82*G82</x:f>
        <x:v>0</x:v>
      </x:c>
      <x:c r="M82" s="50"/>
      <x:c r="N82" s="66"/>
      <x:c r="O82" s="50"/>
    </x:row>
    <x:row r="83">
      <x:c r="A83" s="50"/>
      <x:c r="B83" s="64"/>
      <x:c r="C83" s="50"/>
      <x:c r="D83" s="50"/>
      <x:c r="E83" s="50" t="str">
        <x:f>IFERROR(VLOOKUP(D83,Inventory!$B:$D,2,FALSE),"")</x:f>
      </x:c>
      <x:c r="F83" s="50" t="str">
        <x:f>IFERROR(VLOOKUP(D83,Inventory!$B:$D,3,FALSE),"")</x:f>
      </x:c>
      <x:c r="G83" s="65" t="n">
        <x:v>0</x:v>
      </x:c>
      <x:c r="H83" s="66" t="n">
        <x:v>0</x:v>
      </x:c>
      <x:c r="I83" s="66" t="n">
        <x:f>G83*H83</x:f>
        <x:v>0</x:v>
      </x:c>
      <x:c r="J83" s="66" t="str">
        <x:f>IFERROR(VLOOKUP(D83,Inventory!$B:$F,4,FALSE),0)</x:f>
      </x:c>
      <x:c r="K83" s="66" t="n">
        <x:f>H83-J83</x:f>
        <x:v>0</x:v>
      </x:c>
      <x:c r="L83" s="66" t="n">
        <x:f>K83*G83</x:f>
        <x:v>0</x:v>
      </x:c>
      <x:c r="M83" s="50"/>
      <x:c r="N83" s="66"/>
      <x:c r="O83" s="50"/>
    </x:row>
    <x:row r="84">
      <x:c r="A84" s="50"/>
      <x:c r="B84" s="64"/>
      <x:c r="C84" s="50"/>
      <x:c r="D84" s="50"/>
      <x:c r="E84" s="50" t="str">
        <x:f>IFERROR(VLOOKUP(D84,Inventory!$B:$D,2,FALSE),"")</x:f>
      </x:c>
      <x:c r="F84" s="50" t="str">
        <x:f>IFERROR(VLOOKUP(D84,Inventory!$B:$D,3,FALSE),"")</x:f>
      </x:c>
      <x:c r="G84" s="65" t="n">
        <x:v>0</x:v>
      </x:c>
      <x:c r="H84" s="66" t="n">
        <x:v>0</x:v>
      </x:c>
      <x:c r="I84" s="66" t="n">
        <x:f>G84*H84</x:f>
        <x:v>0</x:v>
      </x:c>
      <x:c r="J84" s="66" t="str">
        <x:f>IFERROR(VLOOKUP(D84,Inventory!$B:$F,4,FALSE),0)</x:f>
      </x:c>
      <x:c r="K84" s="66" t="n">
        <x:f>H84-J84</x:f>
        <x:v>0</x:v>
      </x:c>
      <x:c r="L84" s="66" t="n">
        <x:f>K84*G84</x:f>
        <x:v>0</x:v>
      </x:c>
      <x:c r="M84" s="50"/>
      <x:c r="N84" s="66"/>
      <x:c r="O84" s="50"/>
    </x:row>
    <x:row r="85">
      <x:c r="A85" s="50"/>
      <x:c r="B85" s="64"/>
      <x:c r="C85" s="50"/>
      <x:c r="D85" s="50"/>
      <x:c r="E85" s="50" t="str">
        <x:f>IFERROR(VLOOKUP(D85,Inventory!$B:$D,2,FALSE),"")</x:f>
      </x:c>
      <x:c r="F85" s="50" t="str">
        <x:f>IFERROR(VLOOKUP(D85,Inventory!$B:$D,3,FALSE),"")</x:f>
      </x:c>
      <x:c r="G85" s="65" t="n">
        <x:v>0</x:v>
      </x:c>
      <x:c r="H85" s="66" t="n">
        <x:v>0</x:v>
      </x:c>
      <x:c r="I85" s="66" t="n">
        <x:f>G85*H85</x:f>
        <x:v>0</x:v>
      </x:c>
      <x:c r="J85" s="66" t="str">
        <x:f>IFERROR(VLOOKUP(D85,Inventory!$B:$F,4,FALSE),0)</x:f>
      </x:c>
      <x:c r="K85" s="66" t="n">
        <x:f>H85-J85</x:f>
        <x:v>0</x:v>
      </x:c>
      <x:c r="L85" s="66" t="n">
        <x:f>K85*G85</x:f>
        <x:v>0</x:v>
      </x:c>
      <x:c r="M85" s="50"/>
      <x:c r="N85" s="66"/>
      <x:c r="O85" s="50"/>
    </x:row>
    <x:row r="86">
      <x:c r="A86" s="50"/>
      <x:c r="B86" s="64"/>
      <x:c r="C86" s="50"/>
      <x:c r="D86" s="50"/>
      <x:c r="E86" s="50" t="str">
        <x:f>IFERROR(VLOOKUP(D86,Inventory!$B:$D,2,FALSE),"")</x:f>
      </x:c>
      <x:c r="F86" s="50" t="str">
        <x:f>IFERROR(VLOOKUP(D86,Inventory!$B:$D,3,FALSE),"")</x:f>
      </x:c>
      <x:c r="G86" s="65" t="n">
        <x:v>0</x:v>
      </x:c>
      <x:c r="H86" s="66" t="n">
        <x:v>0</x:v>
      </x:c>
      <x:c r="I86" s="66" t="n">
        <x:f>G86*H86</x:f>
        <x:v>0</x:v>
      </x:c>
      <x:c r="J86" s="66" t="str">
        <x:f>IFERROR(VLOOKUP(D86,Inventory!$B:$F,4,FALSE),0)</x:f>
      </x:c>
      <x:c r="K86" s="66" t="n">
        <x:f>H86-J86</x:f>
        <x:v>0</x:v>
      </x:c>
      <x:c r="L86" s="66" t="n">
        <x:f>K86*G86</x:f>
        <x:v>0</x:v>
      </x:c>
      <x:c r="M86" s="50"/>
      <x:c r="N86" s="66"/>
      <x:c r="O86" s="50"/>
    </x:row>
    <x:row r="87">
      <x:c r="A87" s="50"/>
      <x:c r="B87" s="64"/>
      <x:c r="C87" s="50"/>
      <x:c r="D87" s="50"/>
      <x:c r="E87" s="50" t="str">
        <x:f>IFERROR(VLOOKUP(D87,Inventory!$B:$D,2,FALSE),"")</x:f>
      </x:c>
      <x:c r="F87" s="50" t="str">
        <x:f>IFERROR(VLOOKUP(D87,Inventory!$B:$D,3,FALSE),"")</x:f>
      </x:c>
      <x:c r="G87" s="65" t="n">
        <x:v>0</x:v>
      </x:c>
      <x:c r="H87" s="66" t="n">
        <x:v>0</x:v>
      </x:c>
      <x:c r="I87" s="66" t="n">
        <x:f>G87*H87</x:f>
        <x:v>0</x:v>
      </x:c>
      <x:c r="J87" s="66" t="str">
        <x:f>IFERROR(VLOOKUP(D87,Inventory!$B:$F,4,FALSE),0)</x:f>
      </x:c>
      <x:c r="K87" s="66" t="n">
        <x:f>H87-J87</x:f>
        <x:v>0</x:v>
      </x:c>
      <x:c r="L87" s="66" t="n">
        <x:f>K87*G87</x:f>
        <x:v>0</x:v>
      </x:c>
      <x:c r="M87" s="50"/>
      <x:c r="N87" s="66"/>
      <x:c r="O87" s="50"/>
    </x:row>
    <x:row r="88">
      <x:c r="A88" s="50"/>
      <x:c r="B88" s="64"/>
      <x:c r="C88" s="50"/>
      <x:c r="D88" s="50"/>
      <x:c r="E88" s="50" t="str">
        <x:f>IFERROR(VLOOKUP(D88,Inventory!$B:$D,2,FALSE),"")</x:f>
      </x:c>
      <x:c r="F88" s="50" t="str">
        <x:f>IFERROR(VLOOKUP(D88,Inventory!$B:$D,3,FALSE),"")</x:f>
      </x:c>
      <x:c r="G88" s="65" t="n">
        <x:v>0</x:v>
      </x:c>
      <x:c r="H88" s="66" t="n">
        <x:v>0</x:v>
      </x:c>
      <x:c r="I88" s="66" t="n">
        <x:f>G88*H88</x:f>
        <x:v>0</x:v>
      </x:c>
      <x:c r="J88" s="66" t="str">
        <x:f>IFERROR(VLOOKUP(D88,Inventory!$B:$F,4,FALSE),0)</x:f>
      </x:c>
      <x:c r="K88" s="66" t="n">
        <x:f>H88-J88</x:f>
        <x:v>0</x:v>
      </x:c>
      <x:c r="L88" s="66" t="n">
        <x:f>K88*G88</x:f>
        <x:v>0</x:v>
      </x:c>
      <x:c r="M88" s="50"/>
      <x:c r="N88" s="66"/>
      <x:c r="O88" s="50"/>
    </x:row>
    <x:row r="89">
      <x:c r="A89" s="50"/>
      <x:c r="B89" s="64"/>
      <x:c r="C89" s="50"/>
      <x:c r="D89" s="50"/>
      <x:c r="E89" s="50" t="str">
        <x:f>IFERROR(VLOOKUP(D89,Inventory!$B:$D,2,FALSE),"")</x:f>
      </x:c>
      <x:c r="F89" s="50" t="str">
        <x:f>IFERROR(VLOOKUP(D89,Inventory!$B:$D,3,FALSE),"")</x:f>
      </x:c>
      <x:c r="G89" s="65" t="n">
        <x:v>0</x:v>
      </x:c>
      <x:c r="H89" s="66" t="n">
        <x:v>0</x:v>
      </x:c>
      <x:c r="I89" s="66" t="n">
        <x:f>G89*H89</x:f>
        <x:v>0</x:v>
      </x:c>
      <x:c r="J89" s="66" t="str">
        <x:f>IFERROR(VLOOKUP(D89,Inventory!$B:$F,4,FALSE),0)</x:f>
      </x:c>
      <x:c r="K89" s="66" t="n">
        <x:f>H89-J89</x:f>
        <x:v>0</x:v>
      </x:c>
      <x:c r="L89" s="66" t="n">
        <x:f>K89*G89</x:f>
        <x:v>0</x:v>
      </x:c>
      <x:c r="M89" s="50"/>
      <x:c r="N89" s="66"/>
      <x:c r="O89" s="50"/>
    </x:row>
    <x:row r="90">
      <x:c r="A90" s="50"/>
      <x:c r="B90" s="64"/>
      <x:c r="C90" s="50"/>
      <x:c r="D90" s="50"/>
      <x:c r="E90" s="50" t="str">
        <x:f>IFERROR(VLOOKUP(D90,Inventory!$B:$D,2,FALSE),"")</x:f>
      </x:c>
      <x:c r="F90" s="50" t="str">
        <x:f>IFERROR(VLOOKUP(D90,Inventory!$B:$D,3,FALSE),"")</x:f>
      </x:c>
      <x:c r="G90" s="65" t="n">
        <x:v>0</x:v>
      </x:c>
      <x:c r="H90" s="66" t="n">
        <x:v>0</x:v>
      </x:c>
      <x:c r="I90" s="66" t="n">
        <x:f>G90*H90</x:f>
        <x:v>0</x:v>
      </x:c>
      <x:c r="J90" s="66" t="str">
        <x:f>IFERROR(VLOOKUP(D90,Inventory!$B:$F,4,FALSE),0)</x:f>
      </x:c>
      <x:c r="K90" s="66" t="n">
        <x:f>H90-J90</x:f>
        <x:v>0</x:v>
      </x:c>
      <x:c r="L90" s="66" t="n">
        <x:f>K90*G90</x:f>
        <x:v>0</x:v>
      </x:c>
      <x:c r="M90" s="50"/>
      <x:c r="N90" s="66"/>
      <x:c r="O90" s="50"/>
    </x:row>
    <x:row r="91">
      <x:c r="A91" s="50"/>
      <x:c r="B91" s="64"/>
      <x:c r="C91" s="50"/>
      <x:c r="D91" s="50"/>
      <x:c r="E91" s="50" t="str">
        <x:f>IFERROR(VLOOKUP(D91,Inventory!$B:$D,2,FALSE),"")</x:f>
      </x:c>
      <x:c r="F91" s="50" t="str">
        <x:f>IFERROR(VLOOKUP(D91,Inventory!$B:$D,3,FALSE),"")</x:f>
      </x:c>
      <x:c r="G91" s="65" t="n">
        <x:v>0</x:v>
      </x:c>
      <x:c r="H91" s="66" t="n">
        <x:v>0</x:v>
      </x:c>
      <x:c r="I91" s="66" t="n">
        <x:f>G91*H91</x:f>
        <x:v>0</x:v>
      </x:c>
      <x:c r="J91" s="66" t="str">
        <x:f>IFERROR(VLOOKUP(D91,Inventory!$B:$F,4,FALSE),0)</x:f>
      </x:c>
      <x:c r="K91" s="66" t="n">
        <x:f>H91-J91</x:f>
        <x:v>0</x:v>
      </x:c>
      <x:c r="L91" s="66" t="n">
        <x:f>K91*G91</x:f>
        <x:v>0</x:v>
      </x:c>
      <x:c r="M91" s="50"/>
      <x:c r="N91" s="66"/>
      <x:c r="O91" s="50"/>
    </x:row>
    <x:row r="92">
      <x:c r="A92" s="50"/>
      <x:c r="B92" s="64"/>
      <x:c r="C92" s="50"/>
      <x:c r="D92" s="50"/>
      <x:c r="E92" s="50" t="str">
        <x:f>IFERROR(VLOOKUP(D92,Inventory!$B:$D,2,FALSE),"")</x:f>
      </x:c>
      <x:c r="F92" s="50" t="str">
        <x:f>IFERROR(VLOOKUP(D92,Inventory!$B:$D,3,FALSE),"")</x:f>
      </x:c>
      <x:c r="G92" s="65" t="n">
        <x:v>0</x:v>
      </x:c>
      <x:c r="H92" s="66" t="n">
        <x:v>0</x:v>
      </x:c>
      <x:c r="I92" s="66" t="n">
        <x:f>G92*H92</x:f>
        <x:v>0</x:v>
      </x:c>
      <x:c r="J92" s="66" t="str">
        <x:f>IFERROR(VLOOKUP(D92,Inventory!$B:$F,4,FALSE),0)</x:f>
      </x:c>
      <x:c r="K92" s="66" t="n">
        <x:f>H92-J92</x:f>
        <x:v>0</x:v>
      </x:c>
      <x:c r="L92" s="66" t="n">
        <x:f>K92*G92</x:f>
        <x:v>0</x:v>
      </x:c>
      <x:c r="M92" s="50"/>
      <x:c r="N92" s="66"/>
      <x:c r="O92" s="50"/>
    </x:row>
    <x:row r="93">
      <x:c r="A93" s="50"/>
      <x:c r="B93" s="64"/>
      <x:c r="C93" s="50"/>
      <x:c r="D93" s="50"/>
      <x:c r="E93" s="50" t="str">
        <x:f>IFERROR(VLOOKUP(D93,Inventory!$B:$D,2,FALSE),"")</x:f>
      </x:c>
      <x:c r="F93" s="50" t="str">
        <x:f>IFERROR(VLOOKUP(D93,Inventory!$B:$D,3,FALSE),"")</x:f>
      </x:c>
      <x:c r="G93" s="65" t="n">
        <x:v>0</x:v>
      </x:c>
      <x:c r="H93" s="66" t="n">
        <x:v>0</x:v>
      </x:c>
      <x:c r="I93" s="66" t="n">
        <x:f>G93*H93</x:f>
        <x:v>0</x:v>
      </x:c>
      <x:c r="J93" s="66" t="str">
        <x:f>IFERROR(VLOOKUP(D93,Inventory!$B:$F,4,FALSE),0)</x:f>
      </x:c>
      <x:c r="K93" s="66" t="n">
        <x:f>H93-J93</x:f>
        <x:v>0</x:v>
      </x:c>
      <x:c r="L93" s="66" t="n">
        <x:f>K93*G93</x:f>
        <x:v>0</x:v>
      </x:c>
      <x:c r="M93" s="50"/>
      <x:c r="N93" s="66"/>
      <x:c r="O93" s="50"/>
    </x:row>
    <x:row r="94">
      <x:c r="A94" s="50"/>
      <x:c r="B94" s="64"/>
      <x:c r="C94" s="50"/>
      <x:c r="D94" s="50"/>
      <x:c r="E94" s="50" t="str">
        <x:f>IFERROR(VLOOKUP(D94,Inventory!$B:$D,2,FALSE),"")</x:f>
      </x:c>
      <x:c r="F94" s="50" t="str">
        <x:f>IFERROR(VLOOKUP(D94,Inventory!$B:$D,3,FALSE),"")</x:f>
      </x:c>
      <x:c r="G94" s="65" t="n">
        <x:v>0</x:v>
      </x:c>
      <x:c r="H94" s="66" t="n">
        <x:v>0</x:v>
      </x:c>
      <x:c r="I94" s="66" t="n">
        <x:f>G94*H94</x:f>
        <x:v>0</x:v>
      </x:c>
      <x:c r="J94" s="66" t="str">
        <x:f>IFERROR(VLOOKUP(D94,Inventory!$B:$F,4,FALSE),0)</x:f>
      </x:c>
      <x:c r="K94" s="66" t="n">
        <x:f>H94-J94</x:f>
        <x:v>0</x:v>
      </x:c>
      <x:c r="L94" s="66" t="n">
        <x:f>K94*G94</x:f>
        <x:v>0</x:v>
      </x:c>
      <x:c r="M94" s="50"/>
      <x:c r="N94" s="66"/>
      <x:c r="O94" s="50"/>
    </x:row>
    <x:row r="95">
      <x:c r="A95" s="50"/>
      <x:c r="B95" s="64"/>
      <x:c r="C95" s="50"/>
      <x:c r="D95" s="50"/>
      <x:c r="E95" s="50" t="str">
        <x:f>IFERROR(VLOOKUP(D95,Inventory!$B:$D,2,FALSE),"")</x:f>
      </x:c>
      <x:c r="F95" s="50" t="str">
        <x:f>IFERROR(VLOOKUP(D95,Inventory!$B:$D,3,FALSE),"")</x:f>
      </x:c>
      <x:c r="G95" s="65" t="n">
        <x:v>0</x:v>
      </x:c>
      <x:c r="H95" s="66" t="n">
        <x:v>0</x:v>
      </x:c>
      <x:c r="I95" s="66" t="n">
        <x:f>G95*H95</x:f>
        <x:v>0</x:v>
      </x:c>
      <x:c r="J95" s="66" t="str">
        <x:f>IFERROR(VLOOKUP(D95,Inventory!$B:$F,4,FALSE),0)</x:f>
      </x:c>
      <x:c r="K95" s="66" t="n">
        <x:f>H95-J95</x:f>
        <x:v>0</x:v>
      </x:c>
      <x:c r="L95" s="66" t="n">
        <x:f>K95*G95</x:f>
        <x:v>0</x:v>
      </x:c>
      <x:c r="M95" s="50"/>
      <x:c r="N95" s="66"/>
      <x:c r="O95" s="50"/>
    </x:row>
    <x:row r="96">
      <x:c r="A96" s="50"/>
      <x:c r="B96" s="64"/>
      <x:c r="C96" s="50"/>
      <x:c r="D96" s="50"/>
      <x:c r="E96" s="50" t="str">
        <x:f>IFERROR(VLOOKUP(D96,Inventory!$B:$D,2,FALSE),"")</x:f>
      </x:c>
      <x:c r="F96" s="50" t="str">
        <x:f>IFERROR(VLOOKUP(D96,Inventory!$B:$D,3,FALSE),"")</x:f>
      </x:c>
      <x:c r="G96" s="65" t="n">
        <x:v>0</x:v>
      </x:c>
      <x:c r="H96" s="66" t="n">
        <x:v>0</x:v>
      </x:c>
      <x:c r="I96" s="66" t="n">
        <x:f>G96*H96</x:f>
        <x:v>0</x:v>
      </x:c>
      <x:c r="J96" s="66" t="str">
        <x:f>IFERROR(VLOOKUP(D96,Inventory!$B:$F,4,FALSE),0)</x:f>
      </x:c>
      <x:c r="K96" s="66" t="n">
        <x:f>H96-J96</x:f>
        <x:v>0</x:v>
      </x:c>
      <x:c r="L96" s="66" t="n">
        <x:f>K96*G96</x:f>
        <x:v>0</x:v>
      </x:c>
      <x:c r="M96" s="50"/>
      <x:c r="N96" s="66"/>
      <x:c r="O96" s="50"/>
    </x:row>
    <x:row r="97">
      <x:c r="A97" s="50"/>
      <x:c r="B97" s="64"/>
      <x:c r="C97" s="50"/>
      <x:c r="D97" s="50"/>
      <x:c r="E97" s="50" t="str">
        <x:f>IFERROR(VLOOKUP(D97,Inventory!$B:$D,2,FALSE),"")</x:f>
      </x:c>
      <x:c r="F97" s="50" t="str">
        <x:f>IFERROR(VLOOKUP(D97,Inventory!$B:$D,3,FALSE),"")</x:f>
      </x:c>
      <x:c r="G97" s="65" t="n">
        <x:v>0</x:v>
      </x:c>
      <x:c r="H97" s="66" t="n">
        <x:v>0</x:v>
      </x:c>
      <x:c r="I97" s="66" t="n">
        <x:f>G97*H97</x:f>
        <x:v>0</x:v>
      </x:c>
      <x:c r="J97" s="66" t="str">
        <x:f>IFERROR(VLOOKUP(D97,Inventory!$B:$F,4,FALSE),0)</x:f>
      </x:c>
      <x:c r="K97" s="66" t="n">
        <x:f>H97-J97</x:f>
        <x:v>0</x:v>
      </x:c>
      <x:c r="L97" s="66" t="n">
        <x:f>K97*G97</x:f>
        <x:v>0</x:v>
      </x:c>
      <x:c r="M97" s="50"/>
      <x:c r="N97" s="66"/>
      <x:c r="O97" s="50"/>
    </x:row>
    <x:row r="98">
      <x:c r="A98" s="50"/>
      <x:c r="B98" s="64"/>
      <x:c r="C98" s="50"/>
      <x:c r="D98" s="50"/>
      <x:c r="E98" s="50" t="str">
        <x:f>IFERROR(VLOOKUP(D98,Inventory!$B:$D,2,FALSE),"")</x:f>
      </x:c>
      <x:c r="F98" s="50" t="str">
        <x:f>IFERROR(VLOOKUP(D98,Inventory!$B:$D,3,FALSE),"")</x:f>
      </x:c>
      <x:c r="G98" s="65" t="n">
        <x:v>0</x:v>
      </x:c>
      <x:c r="H98" s="66" t="n">
        <x:v>0</x:v>
      </x:c>
      <x:c r="I98" s="66" t="n">
        <x:f>G98*H98</x:f>
        <x:v>0</x:v>
      </x:c>
      <x:c r="J98" s="66" t="str">
        <x:f>IFERROR(VLOOKUP(D98,Inventory!$B:$F,4,FALSE),0)</x:f>
      </x:c>
      <x:c r="K98" s="66" t="n">
        <x:f>H98-J98</x:f>
        <x:v>0</x:v>
      </x:c>
      <x:c r="L98" s="66" t="n">
        <x:f>K98*G98</x:f>
        <x:v>0</x:v>
      </x:c>
      <x:c r="M98" s="50"/>
      <x:c r="N98" s="66"/>
      <x:c r="O98" s="50"/>
    </x:row>
    <x:row r="99">
      <x:c r="A99" s="50"/>
      <x:c r="B99" s="64"/>
      <x:c r="C99" s="50"/>
      <x:c r="D99" s="50"/>
      <x:c r="E99" s="50" t="str">
        <x:f>IFERROR(VLOOKUP(D99,Inventory!$B:$D,2,FALSE),"")</x:f>
      </x:c>
      <x:c r="F99" s="50" t="str">
        <x:f>IFERROR(VLOOKUP(D99,Inventory!$B:$D,3,FALSE),"")</x:f>
      </x:c>
      <x:c r="G99" s="65" t="n">
        <x:v>0</x:v>
      </x:c>
      <x:c r="H99" s="66" t="n">
        <x:v>0</x:v>
      </x:c>
      <x:c r="I99" s="66" t="n">
        <x:f>G99*H99</x:f>
        <x:v>0</x:v>
      </x:c>
      <x:c r="J99" s="66" t="str">
        <x:f>IFERROR(VLOOKUP(D99,Inventory!$B:$F,4,FALSE),0)</x:f>
      </x:c>
      <x:c r="K99" s="66" t="n">
        <x:f>H99-J99</x:f>
        <x:v>0</x:v>
      </x:c>
      <x:c r="L99" s="66" t="n">
        <x:f>K99*G99</x:f>
        <x:v>0</x:v>
      </x:c>
      <x:c r="M99" s="50"/>
      <x:c r="N99" s="66"/>
      <x:c r="O99" s="50"/>
    </x:row>
    <x:row r="100">
      <x:c r="A100" s="50"/>
      <x:c r="B100" s="64"/>
      <x:c r="C100" s="50"/>
      <x:c r="D100" s="50"/>
      <x:c r="E100" s="50" t="str">
        <x:f>IFERROR(VLOOKUP(D100,Inventory!$B:$D,2,FALSE),"")</x:f>
      </x:c>
      <x:c r="F100" s="50" t="str">
        <x:f>IFERROR(VLOOKUP(D100,Inventory!$B:$D,3,FALSE),"")</x:f>
      </x:c>
      <x:c r="G100" s="65" t="n">
        <x:v>0</x:v>
      </x:c>
      <x:c r="H100" s="66" t="n">
        <x:v>0</x:v>
      </x:c>
      <x:c r="I100" s="66" t="n">
        <x:f>G100*H100</x:f>
        <x:v>0</x:v>
      </x:c>
      <x:c r="J100" s="66" t="str">
        <x:f>IFERROR(VLOOKUP(D100,Inventory!$B:$F,4,FALSE),0)</x:f>
      </x:c>
      <x:c r="K100" s="66" t="n">
        <x:f>H100-J100</x:f>
        <x:v>0</x:v>
      </x:c>
      <x:c r="L100" s="66" t="n">
        <x:f>K100*G100</x:f>
        <x:v>0</x:v>
      </x:c>
      <x:c r="M100" s="50"/>
      <x:c r="N100" s="66"/>
      <x:c r="O100" s="50"/>
    </x:row>
    <x:row r="101">
      <x:c r="A101" s="50"/>
      <x:c r="B101" s="64"/>
      <x:c r="C101" s="50"/>
      <x:c r="D101" s="50"/>
      <x:c r="E101" s="50" t="str">
        <x:f>IFERROR(VLOOKUP(D101,Inventory!$B:$D,2,FALSE),"")</x:f>
      </x:c>
      <x:c r="F101" s="50" t="str">
        <x:f>IFERROR(VLOOKUP(D101,Inventory!$B:$D,3,FALSE),"")</x:f>
      </x:c>
      <x:c r="G101" s="65" t="n">
        <x:v>0</x:v>
      </x:c>
      <x:c r="H101" s="66" t="n">
        <x:v>0</x:v>
      </x:c>
      <x:c r="I101" s="66" t="n">
        <x:f>G101*H101</x:f>
        <x:v>0</x:v>
      </x:c>
      <x:c r="J101" s="66" t="str">
        <x:f>IFERROR(VLOOKUP(D101,Inventory!$B:$F,4,FALSE),0)</x:f>
      </x:c>
      <x:c r="K101" s="66" t="n">
        <x:f>H101-J101</x:f>
        <x:v>0</x:v>
      </x:c>
      <x:c r="L101" s="66" t="n">
        <x:f>K101*G101</x:f>
        <x:v>0</x:v>
      </x:c>
      <x:c r="M101" s="50"/>
      <x:c r="N101" s="66"/>
      <x:c r="O101" s="50"/>
    </x:row>
    <x:row r="102">
      <x:c r="A102" s="50"/>
      <x:c r="B102" s="64"/>
      <x:c r="C102" s="50"/>
      <x:c r="D102" s="50"/>
      <x:c r="E102" s="50" t="str">
        <x:f>IFERROR(VLOOKUP(D102,Inventory!$B:$D,2,FALSE),"")</x:f>
      </x:c>
      <x:c r="F102" s="50" t="str">
        <x:f>IFERROR(VLOOKUP(D102,Inventory!$B:$D,3,FALSE),"")</x:f>
      </x:c>
      <x:c r="G102" s="65" t="n">
        <x:v>0</x:v>
      </x:c>
      <x:c r="H102" s="66" t="n">
        <x:v>0</x:v>
      </x:c>
      <x:c r="I102" s="66" t="n">
        <x:f>G102*H102</x:f>
        <x:v>0</x:v>
      </x:c>
      <x:c r="J102" s="66" t="str">
        <x:f>IFERROR(VLOOKUP(D102,Inventory!$B:$F,4,FALSE),0)</x:f>
      </x:c>
      <x:c r="K102" s="66" t="n">
        <x:f>H102-J102</x:f>
        <x:v>0</x:v>
      </x:c>
      <x:c r="L102" s="66" t="n">
        <x:f>K102*G102</x:f>
        <x:v>0</x:v>
      </x:c>
      <x:c r="M102" s="50"/>
      <x:c r="N102" s="66"/>
      <x:c r="O102" s="50"/>
    </x:row>
    <x:row r="103">
      <x:c r="A103" s="50"/>
      <x:c r="B103" s="64"/>
      <x:c r="C103" s="50"/>
      <x:c r="D103" s="50"/>
      <x:c r="E103" s="50" t="str">
        <x:f>IFERROR(VLOOKUP(D103,Inventory!$B:$D,2,FALSE),"")</x:f>
      </x:c>
      <x:c r="F103" s="50" t="str">
        <x:f>IFERROR(VLOOKUP(D103,Inventory!$B:$D,3,FALSE),"")</x:f>
      </x:c>
      <x:c r="G103" s="65" t="n">
        <x:v>0</x:v>
      </x:c>
      <x:c r="H103" s="66" t="n">
        <x:v>0</x:v>
      </x:c>
      <x:c r="I103" s="66" t="n">
        <x:f>G103*H103</x:f>
        <x:v>0</x:v>
      </x:c>
      <x:c r="J103" s="66" t="str">
        <x:f>IFERROR(VLOOKUP(D103,Inventory!$B:$F,4,FALSE),0)</x:f>
      </x:c>
      <x:c r="K103" s="66" t="n">
        <x:f>H103-J103</x:f>
        <x:v>0</x:v>
      </x:c>
      <x:c r="L103" s="66" t="n">
        <x:f>K103*G103</x:f>
        <x:v>0</x:v>
      </x:c>
      <x:c r="M103" s="50"/>
      <x:c r="N103" s="66"/>
      <x:c r="O103" s="50"/>
    </x:row>
    <x:row r="104">
      <x:c r="A104" s="50"/>
      <x:c r="B104" s="64"/>
      <x:c r="C104" s="50"/>
      <x:c r="D104" s="50"/>
      <x:c r="E104" s="50" t="str">
        <x:f>IFERROR(VLOOKUP(D104,Inventory!$B:$D,2,FALSE),"")</x:f>
      </x:c>
      <x:c r="F104" s="50" t="str">
        <x:f>IFERROR(VLOOKUP(D104,Inventory!$B:$D,3,FALSE),"")</x:f>
      </x:c>
      <x:c r="G104" s="65" t="n">
        <x:v>0</x:v>
      </x:c>
      <x:c r="H104" s="66" t="n">
        <x:v>0</x:v>
      </x:c>
      <x:c r="I104" s="66" t="n">
        <x:f>G104*H104</x:f>
        <x:v>0</x:v>
      </x:c>
      <x:c r="J104" s="66" t="str">
        <x:f>IFERROR(VLOOKUP(D104,Inventory!$B:$F,4,FALSE),0)</x:f>
      </x:c>
      <x:c r="K104" s="66" t="n">
        <x:f>H104-J104</x:f>
        <x:v>0</x:v>
      </x:c>
      <x:c r="L104" s="66" t="n">
        <x:f>K104*G104</x:f>
        <x:v>0</x:v>
      </x:c>
      <x:c r="M104" s="50"/>
      <x:c r="N104" s="66"/>
      <x:c r="O104" s="50"/>
    </x:row>
    <x:row r="105">
      <x:c r="A105" s="50"/>
      <x:c r="B105" s="64"/>
      <x:c r="C105" s="50"/>
      <x:c r="D105" s="50"/>
      <x:c r="E105" s="50" t="str">
        <x:f>IFERROR(VLOOKUP(D105,Inventory!$B:$D,2,FALSE),"")</x:f>
      </x:c>
      <x:c r="F105" s="50" t="str">
        <x:f>IFERROR(VLOOKUP(D105,Inventory!$B:$D,3,FALSE),"")</x:f>
      </x:c>
      <x:c r="G105" s="65" t="n">
        <x:v>0</x:v>
      </x:c>
      <x:c r="H105" s="66" t="n">
        <x:v>0</x:v>
      </x:c>
      <x:c r="I105" s="66" t="n">
        <x:f>G105*H105</x:f>
        <x:v>0</x:v>
      </x:c>
      <x:c r="J105" s="66" t="str">
        <x:f>IFERROR(VLOOKUP(D105,Inventory!$B:$F,4,FALSE),0)</x:f>
      </x:c>
      <x:c r="K105" s="66" t="n">
        <x:f>H105-J105</x:f>
        <x:v>0</x:v>
      </x:c>
      <x:c r="L105" s="66" t="n">
        <x:f>K105*G105</x:f>
        <x:v>0</x:v>
      </x:c>
      <x:c r="M105" s="50"/>
      <x:c r="N105" s="66"/>
      <x:c r="O105" s="50"/>
    </x:row>
    <x:row r="106">
      <x:c r="A106" s="50"/>
      <x:c r="B106" s="64"/>
      <x:c r="C106" s="50"/>
      <x:c r="D106" s="50"/>
      <x:c r="E106" s="50" t="str">
        <x:f>IFERROR(VLOOKUP(D106,Inventory!$B:$D,2,FALSE),"")</x:f>
      </x:c>
      <x:c r="F106" s="50" t="str">
        <x:f>IFERROR(VLOOKUP(D106,Inventory!$B:$D,3,FALSE),"")</x:f>
      </x:c>
      <x:c r="G106" s="65" t="n">
        <x:v>0</x:v>
      </x:c>
      <x:c r="H106" s="66" t="n">
        <x:v>0</x:v>
      </x:c>
      <x:c r="I106" s="66" t="n">
        <x:f>G106*H106</x:f>
        <x:v>0</x:v>
      </x:c>
      <x:c r="J106" s="66" t="str">
        <x:f>IFERROR(VLOOKUP(D106,Inventory!$B:$F,4,FALSE),0)</x:f>
      </x:c>
      <x:c r="K106" s="66" t="n">
        <x:f>H106-J106</x:f>
        <x:v>0</x:v>
      </x:c>
      <x:c r="L106" s="66" t="n">
        <x:f>K106*G106</x:f>
        <x:v>0</x:v>
      </x:c>
      <x:c r="M106" s="50"/>
      <x:c r="N106" s="66"/>
      <x:c r="O106" s="50"/>
    </x:row>
    <x:row r="107">
      <x:c r="A107" s="50"/>
      <x:c r="B107" s="64"/>
      <x:c r="C107" s="50"/>
      <x:c r="D107" s="50"/>
      <x:c r="E107" s="50" t="str">
        <x:f>IFERROR(VLOOKUP(D107,Inventory!$B:$D,2,FALSE),"")</x:f>
      </x:c>
      <x:c r="F107" s="50" t="str">
        <x:f>IFERROR(VLOOKUP(D107,Inventory!$B:$D,3,FALSE),"")</x:f>
      </x:c>
      <x:c r="G107" s="65" t="n">
        <x:v>0</x:v>
      </x:c>
      <x:c r="H107" s="66" t="n">
        <x:v>0</x:v>
      </x:c>
      <x:c r="I107" s="66" t="n">
        <x:f>G107*H107</x:f>
        <x:v>0</x:v>
      </x:c>
      <x:c r="J107" s="66" t="str">
        <x:f>IFERROR(VLOOKUP(D107,Inventory!$B:$F,4,FALSE),0)</x:f>
      </x:c>
      <x:c r="K107" s="66" t="n">
        <x:f>H107-J107</x:f>
        <x:v>0</x:v>
      </x:c>
      <x:c r="L107" s="66" t="n">
        <x:f>K107*G107</x:f>
        <x:v>0</x:v>
      </x:c>
      <x:c r="M107" s="50"/>
      <x:c r="N107" s="66"/>
      <x:c r="O107" s="50"/>
    </x:row>
    <x:row r="108">
      <x:c r="A108" s="50"/>
      <x:c r="B108" s="64"/>
      <x:c r="C108" s="50"/>
      <x:c r="D108" s="50"/>
      <x:c r="E108" s="50" t="str">
        <x:f>IFERROR(VLOOKUP(D108,Inventory!$B:$D,2,FALSE),"")</x:f>
      </x:c>
      <x:c r="F108" s="50" t="str">
        <x:f>IFERROR(VLOOKUP(D108,Inventory!$B:$D,3,FALSE),"")</x:f>
      </x:c>
      <x:c r="G108" s="65" t="n">
        <x:v>0</x:v>
      </x:c>
      <x:c r="H108" s="66" t="n">
        <x:v>0</x:v>
      </x:c>
      <x:c r="I108" s="66" t="n">
        <x:f>G108*H108</x:f>
        <x:v>0</x:v>
      </x:c>
      <x:c r="J108" s="66" t="str">
        <x:f>IFERROR(VLOOKUP(D108,Inventory!$B:$F,4,FALSE),0)</x:f>
      </x:c>
      <x:c r="K108" s="66" t="n">
        <x:f>H108-J108</x:f>
        <x:v>0</x:v>
      </x:c>
      <x:c r="L108" s="66" t="n">
        <x:f>K108*G108</x:f>
        <x:v>0</x:v>
      </x:c>
      <x:c r="M108" s="50"/>
      <x:c r="N108" s="66"/>
      <x:c r="O108" s="50"/>
    </x:row>
    <x:row r="109">
      <x:c r="A109" s="50"/>
      <x:c r="B109" s="64"/>
      <x:c r="C109" s="50"/>
      <x:c r="D109" s="50"/>
      <x:c r="E109" s="50" t="str">
        <x:f>IFERROR(VLOOKUP(D109,Inventory!$B:$D,2,FALSE),"")</x:f>
      </x:c>
      <x:c r="F109" s="50" t="str">
        <x:f>IFERROR(VLOOKUP(D109,Inventory!$B:$D,3,FALSE),"")</x:f>
      </x:c>
      <x:c r="G109" s="65" t="n">
        <x:v>0</x:v>
      </x:c>
      <x:c r="H109" s="66" t="n">
        <x:v>0</x:v>
      </x:c>
      <x:c r="I109" s="66" t="n">
        <x:f>G109*H109</x:f>
        <x:v>0</x:v>
      </x:c>
      <x:c r="J109" s="66" t="str">
        <x:f>IFERROR(VLOOKUP(D109,Inventory!$B:$F,4,FALSE),0)</x:f>
      </x:c>
      <x:c r="K109" s="66" t="n">
        <x:f>H109-J109</x:f>
        <x:v>0</x:v>
      </x:c>
      <x:c r="L109" s="66" t="n">
        <x:f>K109*G109</x:f>
        <x:v>0</x:v>
      </x:c>
      <x:c r="M109" s="50"/>
      <x:c r="N109" s="66"/>
      <x:c r="O109" s="50"/>
    </x:row>
    <x:row r="110">
      <x:c r="A110" s="50"/>
      <x:c r="B110" s="64"/>
      <x:c r="C110" s="50"/>
      <x:c r="D110" s="50"/>
      <x:c r="E110" s="50" t="str">
        <x:f>IFERROR(VLOOKUP(D110,Inventory!$B:$D,2,FALSE),"")</x:f>
      </x:c>
      <x:c r="F110" s="50" t="str">
        <x:f>IFERROR(VLOOKUP(D110,Inventory!$B:$D,3,FALSE),"")</x:f>
      </x:c>
      <x:c r="G110" s="65" t="n">
        <x:v>0</x:v>
      </x:c>
      <x:c r="H110" s="66" t="n">
        <x:v>0</x:v>
      </x:c>
      <x:c r="I110" s="66" t="n">
        <x:f>G110*H110</x:f>
        <x:v>0</x:v>
      </x:c>
      <x:c r="J110" s="66" t="str">
        <x:f>IFERROR(VLOOKUP(D110,Inventory!$B:$F,4,FALSE),0)</x:f>
      </x:c>
      <x:c r="K110" s="66" t="n">
        <x:f>H110-J110</x:f>
        <x:v>0</x:v>
      </x:c>
      <x:c r="L110" s="66" t="n">
        <x:f>K110*G110</x:f>
        <x:v>0</x:v>
      </x:c>
      <x:c r="M110" s="50"/>
      <x:c r="N110" s="66"/>
      <x:c r="O110" s="50"/>
    </x:row>
    <x:row r="111">
      <x:c r="A111" s="50"/>
      <x:c r="B111" s="64"/>
      <x:c r="C111" s="50"/>
      <x:c r="D111" s="50"/>
      <x:c r="E111" s="50" t="str">
        <x:f>IFERROR(VLOOKUP(D111,Inventory!$B:$D,2,FALSE),"")</x:f>
      </x:c>
      <x:c r="F111" s="50" t="str">
        <x:f>IFERROR(VLOOKUP(D111,Inventory!$B:$D,3,FALSE),"")</x:f>
      </x:c>
      <x:c r="G111" s="65" t="n">
        <x:v>0</x:v>
      </x:c>
      <x:c r="H111" s="66" t="n">
        <x:v>0</x:v>
      </x:c>
      <x:c r="I111" s="66" t="n">
        <x:f>G111*H111</x:f>
        <x:v>0</x:v>
      </x:c>
      <x:c r="J111" s="66" t="str">
        <x:f>IFERROR(VLOOKUP(D111,Inventory!$B:$F,4,FALSE),0)</x:f>
      </x:c>
      <x:c r="K111" s="66" t="n">
        <x:f>H111-J111</x:f>
        <x:v>0</x:v>
      </x:c>
      <x:c r="L111" s="66" t="n">
        <x:f>K111*G111</x:f>
        <x:v>0</x:v>
      </x:c>
      <x:c r="M111" s="50"/>
      <x:c r="N111" s="66"/>
      <x:c r="O111" s="50"/>
    </x:row>
    <x:row r="112">
      <x:c r="A112" s="50"/>
      <x:c r="B112" s="64"/>
      <x:c r="C112" s="50"/>
      <x:c r="D112" s="50"/>
      <x:c r="E112" s="50" t="str">
        <x:f>IFERROR(VLOOKUP(D112,Inventory!$B:$D,2,FALSE),"")</x:f>
      </x:c>
      <x:c r="F112" s="50" t="str">
        <x:f>IFERROR(VLOOKUP(D112,Inventory!$B:$D,3,FALSE),"")</x:f>
      </x:c>
      <x:c r="G112" s="65" t="n">
        <x:v>0</x:v>
      </x:c>
      <x:c r="H112" s="66" t="n">
        <x:v>0</x:v>
      </x:c>
      <x:c r="I112" s="66" t="n">
        <x:f>G112*H112</x:f>
        <x:v>0</x:v>
      </x:c>
      <x:c r="J112" s="66" t="str">
        <x:f>IFERROR(VLOOKUP(D112,Inventory!$B:$F,4,FALSE),0)</x:f>
      </x:c>
      <x:c r="K112" s="66" t="n">
        <x:f>H112-J112</x:f>
        <x:v>0</x:v>
      </x:c>
      <x:c r="L112" s="66" t="n">
        <x:f>K112*G112</x:f>
        <x:v>0</x:v>
      </x:c>
      <x:c r="M112" s="50"/>
      <x:c r="N112" s="66"/>
      <x:c r="O112" s="50"/>
    </x:row>
    <x:row r="113">
      <x:c r="A113" s="50"/>
      <x:c r="B113" s="64"/>
      <x:c r="C113" s="50"/>
      <x:c r="D113" s="50"/>
      <x:c r="E113" s="50" t="str">
        <x:f>IFERROR(VLOOKUP(D113,Inventory!$B:$D,2,FALSE),"")</x:f>
      </x:c>
      <x:c r="F113" s="50" t="str">
        <x:f>IFERROR(VLOOKUP(D113,Inventory!$B:$D,3,FALSE),"")</x:f>
      </x:c>
      <x:c r="G113" s="65" t="n">
        <x:v>0</x:v>
      </x:c>
      <x:c r="H113" s="66" t="n">
        <x:v>0</x:v>
      </x:c>
      <x:c r="I113" s="66" t="n">
        <x:f>G113*H113</x:f>
        <x:v>0</x:v>
      </x:c>
      <x:c r="J113" s="66" t="str">
        <x:f>IFERROR(VLOOKUP(D113,Inventory!$B:$F,4,FALSE),0)</x:f>
      </x:c>
      <x:c r="K113" s="66" t="n">
        <x:f>H113-J113</x:f>
        <x:v>0</x:v>
      </x:c>
      <x:c r="L113" s="66" t="n">
        <x:f>K113*G113</x:f>
        <x:v>0</x:v>
      </x:c>
      <x:c r="M113" s="50"/>
      <x:c r="N113" s="66"/>
      <x:c r="O113" s="50"/>
    </x:row>
    <x:row r="114">
      <x:c r="A114" s="50"/>
      <x:c r="B114" s="64"/>
      <x:c r="C114" s="50"/>
      <x:c r="D114" s="50"/>
      <x:c r="E114" s="50" t="str">
        <x:f>IFERROR(VLOOKUP(D114,Inventory!$B:$D,2,FALSE),"")</x:f>
      </x:c>
      <x:c r="F114" s="50" t="str">
        <x:f>IFERROR(VLOOKUP(D114,Inventory!$B:$D,3,FALSE),"")</x:f>
      </x:c>
      <x:c r="G114" s="65" t="n">
        <x:v>0</x:v>
      </x:c>
      <x:c r="H114" s="66" t="n">
        <x:v>0</x:v>
      </x:c>
      <x:c r="I114" s="66" t="n">
        <x:f>G114*H114</x:f>
        <x:v>0</x:v>
      </x:c>
      <x:c r="J114" s="66" t="str">
        <x:f>IFERROR(VLOOKUP(D114,Inventory!$B:$F,4,FALSE),0)</x:f>
      </x:c>
      <x:c r="K114" s="66" t="n">
        <x:f>H114-J114</x:f>
        <x:v>0</x:v>
      </x:c>
      <x:c r="L114" s="66" t="n">
        <x:f>K114*G114</x:f>
        <x:v>0</x:v>
      </x:c>
      <x:c r="M114" s="50"/>
      <x:c r="N114" s="66"/>
      <x:c r="O114" s="50"/>
    </x:row>
    <x:row r="115">
      <x:c r="A115" s="50"/>
      <x:c r="B115" s="64"/>
      <x:c r="C115" s="50"/>
      <x:c r="D115" s="50"/>
      <x:c r="E115" s="50" t="str">
        <x:f>IFERROR(VLOOKUP(D115,Inventory!$B:$D,2,FALSE),"")</x:f>
      </x:c>
      <x:c r="F115" s="50" t="str">
        <x:f>IFERROR(VLOOKUP(D115,Inventory!$B:$D,3,FALSE),"")</x:f>
      </x:c>
      <x:c r="G115" s="65" t="n">
        <x:v>0</x:v>
      </x:c>
      <x:c r="H115" s="66" t="n">
        <x:v>0</x:v>
      </x:c>
      <x:c r="I115" s="66" t="n">
        <x:f>G115*H115</x:f>
        <x:v>0</x:v>
      </x:c>
      <x:c r="J115" s="66" t="str">
        <x:f>IFERROR(VLOOKUP(D115,Inventory!$B:$F,4,FALSE),0)</x:f>
      </x:c>
      <x:c r="K115" s="66" t="n">
        <x:f>H115-J115</x:f>
        <x:v>0</x:v>
      </x:c>
      <x:c r="L115" s="66" t="n">
        <x:f>K115*G115</x:f>
        <x:v>0</x:v>
      </x:c>
      <x:c r="M115" s="50"/>
      <x:c r="N115" s="66"/>
      <x:c r="O115" s="50"/>
    </x:row>
    <x:row r="116">
      <x:c r="A116" s="50"/>
      <x:c r="B116" s="64"/>
      <x:c r="C116" s="50"/>
      <x:c r="D116" s="50"/>
      <x:c r="E116" s="50" t="str">
        <x:f>IFERROR(VLOOKUP(D116,Inventory!$B:$D,2,FALSE),"")</x:f>
      </x:c>
      <x:c r="F116" s="50" t="str">
        <x:f>IFERROR(VLOOKUP(D116,Inventory!$B:$D,3,FALSE),"")</x:f>
      </x:c>
      <x:c r="G116" s="65" t="n">
        <x:v>0</x:v>
      </x:c>
      <x:c r="H116" s="66" t="n">
        <x:v>0</x:v>
      </x:c>
      <x:c r="I116" s="66" t="n">
        <x:f>G116*H116</x:f>
        <x:v>0</x:v>
      </x:c>
      <x:c r="J116" s="66" t="str">
        <x:f>IFERROR(VLOOKUP(D116,Inventory!$B:$F,4,FALSE),0)</x:f>
      </x:c>
      <x:c r="K116" s="66" t="n">
        <x:f>H116-J116</x:f>
        <x:v>0</x:v>
      </x:c>
      <x:c r="L116" s="66" t="n">
        <x:f>K116*G116</x:f>
        <x:v>0</x:v>
      </x:c>
      <x:c r="M116" s="50"/>
      <x:c r="N116" s="66"/>
      <x:c r="O116" s="50"/>
    </x:row>
    <x:row r="117">
      <x:c r="A117" s="50"/>
      <x:c r="B117" s="64"/>
      <x:c r="C117" s="50"/>
      <x:c r="D117" s="50"/>
      <x:c r="E117" s="50" t="str">
        <x:f>IFERROR(VLOOKUP(D117,Inventory!$B:$D,2,FALSE),"")</x:f>
      </x:c>
      <x:c r="F117" s="50" t="str">
        <x:f>IFERROR(VLOOKUP(D117,Inventory!$B:$D,3,FALSE),"")</x:f>
      </x:c>
      <x:c r="G117" s="65" t="n">
        <x:v>0</x:v>
      </x:c>
      <x:c r="H117" s="66" t="n">
        <x:v>0</x:v>
      </x:c>
      <x:c r="I117" s="66" t="n">
        <x:f>G117*H117</x:f>
        <x:v>0</x:v>
      </x:c>
      <x:c r="J117" s="66" t="str">
        <x:f>IFERROR(VLOOKUP(D117,Inventory!$B:$F,4,FALSE),0)</x:f>
      </x:c>
      <x:c r="K117" s="66" t="n">
        <x:f>H117-J117</x:f>
        <x:v>0</x:v>
      </x:c>
      <x:c r="L117" s="66" t="n">
        <x:f>K117*G117</x:f>
        <x:v>0</x:v>
      </x:c>
      <x:c r="M117" s="50"/>
      <x:c r="N117" s="66"/>
      <x:c r="O117" s="50"/>
    </x:row>
    <x:row r="118">
      <x:c r="A118" s="50"/>
      <x:c r="B118" s="64"/>
      <x:c r="C118" s="50"/>
      <x:c r="D118" s="50"/>
      <x:c r="E118" s="50" t="str">
        <x:f>IFERROR(VLOOKUP(D118,Inventory!$B:$D,2,FALSE),"")</x:f>
      </x:c>
      <x:c r="F118" s="50" t="str">
        <x:f>IFERROR(VLOOKUP(D118,Inventory!$B:$D,3,FALSE),"")</x:f>
      </x:c>
      <x:c r="G118" s="65" t="n">
        <x:v>0</x:v>
      </x:c>
      <x:c r="H118" s="66" t="n">
        <x:v>0</x:v>
      </x:c>
      <x:c r="I118" s="66" t="n">
        <x:f>G118*H118</x:f>
        <x:v>0</x:v>
      </x:c>
      <x:c r="J118" s="66" t="str">
        <x:f>IFERROR(VLOOKUP(D118,Inventory!$B:$F,4,FALSE),0)</x:f>
      </x:c>
      <x:c r="K118" s="66" t="n">
        <x:f>H118-J118</x:f>
        <x:v>0</x:v>
      </x:c>
      <x:c r="L118" s="66" t="n">
        <x:f>K118*G118</x:f>
        <x:v>0</x:v>
      </x:c>
      <x:c r="M118" s="50"/>
      <x:c r="N118" s="66"/>
      <x:c r="O118" s="50"/>
    </x:row>
    <x:row r="119">
      <x:c r="A119" s="50"/>
      <x:c r="B119" s="64"/>
      <x:c r="C119" s="50"/>
      <x:c r="D119" s="50"/>
      <x:c r="E119" s="50" t="str">
        <x:f>IFERROR(VLOOKUP(D119,Inventory!$B:$D,2,FALSE),"")</x:f>
      </x:c>
      <x:c r="F119" s="50" t="str">
        <x:f>IFERROR(VLOOKUP(D119,Inventory!$B:$D,3,FALSE),"")</x:f>
      </x:c>
      <x:c r="G119" s="65" t="n">
        <x:v>0</x:v>
      </x:c>
      <x:c r="H119" s="66" t="n">
        <x:v>0</x:v>
      </x:c>
      <x:c r="I119" s="66" t="n">
        <x:f>G119*H119</x:f>
        <x:v>0</x:v>
      </x:c>
      <x:c r="J119" s="66" t="str">
        <x:f>IFERROR(VLOOKUP(D119,Inventory!$B:$F,4,FALSE),0)</x:f>
      </x:c>
      <x:c r="K119" s="66" t="n">
        <x:f>H119-J119</x:f>
        <x:v>0</x:v>
      </x:c>
      <x:c r="L119" s="66" t="n">
        <x:f>K119*G119</x:f>
        <x:v>0</x:v>
      </x:c>
      <x:c r="M119" s="50"/>
      <x:c r="N119" s="66"/>
      <x:c r="O119" s="50"/>
    </x:row>
    <x:row r="120">
      <x:c r="A120" s="50"/>
      <x:c r="B120" s="64"/>
      <x:c r="C120" s="50"/>
      <x:c r="D120" s="50"/>
      <x:c r="E120" s="50" t="str">
        <x:f>IFERROR(VLOOKUP(D120,Inventory!$B:$D,2,FALSE),"")</x:f>
      </x:c>
      <x:c r="F120" s="50" t="str">
        <x:f>IFERROR(VLOOKUP(D120,Inventory!$B:$D,3,FALSE),"")</x:f>
      </x:c>
      <x:c r="G120" s="65" t="n">
        <x:v>0</x:v>
      </x:c>
      <x:c r="H120" s="66" t="n">
        <x:v>0</x:v>
      </x:c>
      <x:c r="I120" s="66" t="n">
        <x:f>G120*H120</x:f>
        <x:v>0</x:v>
      </x:c>
      <x:c r="J120" s="66" t="str">
        <x:f>IFERROR(VLOOKUP(D120,Inventory!$B:$F,4,FALSE),0)</x:f>
      </x:c>
      <x:c r="K120" s="66" t="n">
        <x:f>H120-J120</x:f>
        <x:v>0</x:v>
      </x:c>
      <x:c r="L120" s="66" t="n">
        <x:f>K120*G120</x:f>
        <x:v>0</x:v>
      </x:c>
      <x:c r="M120" s="50"/>
      <x:c r="N120" s="66"/>
      <x:c r="O120" s="50"/>
    </x:row>
    <x:row r="121">
      <x:c r="A121" s="50"/>
      <x:c r="B121" s="64"/>
      <x:c r="C121" s="50"/>
      <x:c r="D121" s="50"/>
      <x:c r="E121" s="50" t="str">
        <x:f>IFERROR(VLOOKUP(D121,Inventory!$B:$D,2,FALSE),"")</x:f>
      </x:c>
      <x:c r="F121" s="50" t="str">
        <x:f>IFERROR(VLOOKUP(D121,Inventory!$B:$D,3,FALSE),"")</x:f>
      </x:c>
      <x:c r="G121" s="65" t="n">
        <x:v>0</x:v>
      </x:c>
      <x:c r="H121" s="66" t="n">
        <x:v>0</x:v>
      </x:c>
      <x:c r="I121" s="66" t="n">
        <x:f>G121*H121</x:f>
        <x:v>0</x:v>
      </x:c>
      <x:c r="J121" s="66" t="str">
        <x:f>IFERROR(VLOOKUP(D121,Inventory!$B:$F,4,FALSE),0)</x:f>
      </x:c>
      <x:c r="K121" s="66" t="n">
        <x:f>H121-J121</x:f>
        <x:v>0</x:v>
      </x:c>
      <x:c r="L121" s="66" t="n">
        <x:f>K121*G121</x:f>
        <x:v>0</x:v>
      </x:c>
      <x:c r="M121" s="50"/>
      <x:c r="N121" s="66"/>
      <x:c r="O121" s="50"/>
    </x:row>
    <x:row r="122">
      <x:c r="A122" s="50"/>
      <x:c r="B122" s="64"/>
      <x:c r="C122" s="50"/>
      <x:c r="D122" s="50"/>
      <x:c r="E122" s="50" t="str">
        <x:f>IFERROR(VLOOKUP(D122,Inventory!$B:$D,2,FALSE),"")</x:f>
      </x:c>
      <x:c r="F122" s="50" t="str">
        <x:f>IFERROR(VLOOKUP(D122,Inventory!$B:$D,3,FALSE),"")</x:f>
      </x:c>
      <x:c r="G122" s="65" t="n">
        <x:v>0</x:v>
      </x:c>
      <x:c r="H122" s="66" t="n">
        <x:v>0</x:v>
      </x:c>
      <x:c r="I122" s="66" t="n">
        <x:f>G122*H122</x:f>
        <x:v>0</x:v>
      </x:c>
      <x:c r="J122" s="66" t="str">
        <x:f>IFERROR(VLOOKUP(D122,Inventory!$B:$F,4,FALSE),0)</x:f>
      </x:c>
      <x:c r="K122" s="66" t="n">
        <x:f>H122-J122</x:f>
        <x:v>0</x:v>
      </x:c>
      <x:c r="L122" s="66" t="n">
        <x:f>K122*G122</x:f>
        <x:v>0</x:v>
      </x:c>
      <x:c r="M122" s="50"/>
      <x:c r="N122" s="66"/>
      <x:c r="O122" s="50"/>
    </x:row>
    <x:row r="123">
      <x:c r="A123" s="50"/>
      <x:c r="B123" s="64"/>
      <x:c r="C123" s="50"/>
      <x:c r="D123" s="50"/>
      <x:c r="E123" s="50" t="str">
        <x:f>IFERROR(VLOOKUP(D123,Inventory!$B:$D,2,FALSE),"")</x:f>
      </x:c>
      <x:c r="F123" s="50" t="str">
        <x:f>IFERROR(VLOOKUP(D123,Inventory!$B:$D,3,FALSE),"")</x:f>
      </x:c>
      <x:c r="G123" s="65" t="n">
        <x:v>0</x:v>
      </x:c>
      <x:c r="H123" s="66" t="n">
        <x:v>0</x:v>
      </x:c>
      <x:c r="I123" s="66" t="n">
        <x:f>G123*H123</x:f>
        <x:v>0</x:v>
      </x:c>
      <x:c r="J123" s="66" t="str">
        <x:f>IFERROR(VLOOKUP(D123,Inventory!$B:$F,4,FALSE),0)</x:f>
      </x:c>
      <x:c r="K123" s="66" t="n">
        <x:f>H123-J123</x:f>
        <x:v>0</x:v>
      </x:c>
      <x:c r="L123" s="66" t="n">
        <x:f>K123*G123</x:f>
        <x:v>0</x:v>
      </x:c>
      <x:c r="M123" s="50"/>
      <x:c r="N123" s="66"/>
      <x:c r="O123" s="50"/>
    </x:row>
    <x:row r="124">
      <x:c r="A124" s="50"/>
      <x:c r="B124" s="64"/>
      <x:c r="C124" s="50"/>
      <x:c r="D124" s="50"/>
      <x:c r="E124" s="50" t="str">
        <x:f>IFERROR(VLOOKUP(D124,Inventory!$B:$D,2,FALSE),"")</x:f>
      </x:c>
      <x:c r="F124" s="50" t="str">
        <x:f>IFERROR(VLOOKUP(D124,Inventory!$B:$D,3,FALSE),"")</x:f>
      </x:c>
      <x:c r="G124" s="65" t="n">
        <x:v>0</x:v>
      </x:c>
      <x:c r="H124" s="66" t="n">
        <x:v>0</x:v>
      </x:c>
      <x:c r="I124" s="66" t="n">
        <x:f>G124*H124</x:f>
        <x:v>0</x:v>
      </x:c>
      <x:c r="J124" s="66" t="str">
        <x:f>IFERROR(VLOOKUP(D124,Inventory!$B:$F,4,FALSE),0)</x:f>
      </x:c>
      <x:c r="K124" s="66" t="n">
        <x:f>H124-J124</x:f>
        <x:v>0</x:v>
      </x:c>
      <x:c r="L124" s="66" t="n">
        <x:f>K124*G124</x:f>
        <x:v>0</x:v>
      </x:c>
      <x:c r="M124" s="50"/>
      <x:c r="N124" s="66"/>
      <x:c r="O124" s="50"/>
    </x:row>
    <x:row r="125">
      <x:c r="A125" s="50"/>
      <x:c r="B125" s="64"/>
      <x:c r="C125" s="50"/>
      <x:c r="D125" s="50"/>
      <x:c r="E125" s="50" t="str">
        <x:f>IFERROR(VLOOKUP(D125,Inventory!$B:$D,2,FALSE),"")</x:f>
      </x:c>
      <x:c r="F125" s="50" t="str">
        <x:f>IFERROR(VLOOKUP(D125,Inventory!$B:$D,3,FALSE),"")</x:f>
      </x:c>
      <x:c r="G125" s="65" t="n">
        <x:v>0</x:v>
      </x:c>
      <x:c r="H125" s="66" t="n">
        <x:v>0</x:v>
      </x:c>
      <x:c r="I125" s="66" t="n">
        <x:f>G125*H125</x:f>
        <x:v>0</x:v>
      </x:c>
      <x:c r="J125" s="66" t="str">
        <x:f>IFERROR(VLOOKUP(D125,Inventory!$B:$F,4,FALSE),0)</x:f>
      </x:c>
      <x:c r="K125" s="66" t="n">
        <x:f>H125-J125</x:f>
        <x:v>0</x:v>
      </x:c>
      <x:c r="L125" s="66" t="n">
        <x:f>K125*G125</x:f>
        <x:v>0</x:v>
      </x:c>
      <x:c r="M125" s="50"/>
      <x:c r="N125" s="66"/>
      <x:c r="O125" s="50"/>
    </x:row>
    <x:row r="126">
      <x:c r="A126" s="50"/>
      <x:c r="B126" s="64"/>
      <x:c r="C126" s="50"/>
      <x:c r="D126" s="50"/>
      <x:c r="E126" s="50" t="str">
        <x:f>IFERROR(VLOOKUP(D126,Inventory!$B:$D,2,FALSE),"")</x:f>
      </x:c>
      <x:c r="F126" s="50" t="str">
        <x:f>IFERROR(VLOOKUP(D126,Inventory!$B:$D,3,FALSE),"")</x:f>
      </x:c>
      <x:c r="G126" s="65" t="n">
        <x:v>0</x:v>
      </x:c>
      <x:c r="H126" s="66" t="n">
        <x:v>0</x:v>
      </x:c>
      <x:c r="I126" s="66" t="n">
        <x:f>G126*H126</x:f>
        <x:v>0</x:v>
      </x:c>
      <x:c r="J126" s="66" t="str">
        <x:f>IFERROR(VLOOKUP(D126,Inventory!$B:$F,4,FALSE),0)</x:f>
      </x:c>
      <x:c r="K126" s="66" t="n">
        <x:f>H126-J126</x:f>
        <x:v>0</x:v>
      </x:c>
      <x:c r="L126" s="66" t="n">
        <x:f>K126*G126</x:f>
        <x:v>0</x:v>
      </x:c>
      <x:c r="M126" s="50"/>
      <x:c r="N126" s="66"/>
      <x:c r="O126" s="50"/>
    </x:row>
    <x:row r="127">
      <x:c r="A127" s="50"/>
      <x:c r="B127" s="64"/>
      <x:c r="C127" s="50"/>
      <x:c r="D127" s="50"/>
      <x:c r="E127" s="50" t="str">
        <x:f>IFERROR(VLOOKUP(D127,Inventory!$B:$D,2,FALSE),"")</x:f>
      </x:c>
      <x:c r="F127" s="50" t="str">
        <x:f>IFERROR(VLOOKUP(D127,Inventory!$B:$D,3,FALSE),"")</x:f>
      </x:c>
      <x:c r="G127" s="65" t="n">
        <x:v>0</x:v>
      </x:c>
      <x:c r="H127" s="66" t="n">
        <x:v>0</x:v>
      </x:c>
      <x:c r="I127" s="66" t="n">
        <x:f>G127*H127</x:f>
        <x:v>0</x:v>
      </x:c>
      <x:c r="J127" s="66" t="str">
        <x:f>IFERROR(VLOOKUP(D127,Inventory!$B:$F,4,FALSE),0)</x:f>
      </x:c>
      <x:c r="K127" s="66" t="n">
        <x:f>H127-J127</x:f>
        <x:v>0</x:v>
      </x:c>
      <x:c r="L127" s="66" t="n">
        <x:f>K127*G127</x:f>
        <x:v>0</x:v>
      </x:c>
      <x:c r="M127" s="50"/>
      <x:c r="N127" s="66"/>
      <x:c r="O127" s="50"/>
    </x:row>
    <x:row r="128">
      <x:c r="A128" s="50"/>
      <x:c r="B128" s="64"/>
      <x:c r="C128" s="50"/>
      <x:c r="D128" s="50"/>
      <x:c r="E128" s="50" t="str">
        <x:f>IFERROR(VLOOKUP(D128,Inventory!$B:$D,2,FALSE),"")</x:f>
      </x:c>
      <x:c r="F128" s="50" t="str">
        <x:f>IFERROR(VLOOKUP(D128,Inventory!$B:$D,3,FALSE),"")</x:f>
      </x:c>
      <x:c r="G128" s="65" t="n">
        <x:v>0</x:v>
      </x:c>
      <x:c r="H128" s="66" t="n">
        <x:v>0</x:v>
      </x:c>
      <x:c r="I128" s="66" t="n">
        <x:f>G128*H128</x:f>
        <x:v>0</x:v>
      </x:c>
      <x:c r="J128" s="66" t="str">
        <x:f>IFERROR(VLOOKUP(D128,Inventory!$B:$F,4,FALSE),0)</x:f>
      </x:c>
      <x:c r="K128" s="66" t="n">
        <x:f>H128-J128</x:f>
        <x:v>0</x:v>
      </x:c>
      <x:c r="L128" s="66" t="n">
        <x:f>K128*G128</x:f>
        <x:v>0</x:v>
      </x:c>
      <x:c r="M128" s="50"/>
      <x:c r="N128" s="66"/>
      <x:c r="O128" s="50"/>
    </x:row>
    <x:row r="129">
      <x:c r="A129" s="50"/>
      <x:c r="B129" s="64"/>
      <x:c r="C129" s="50"/>
      <x:c r="D129" s="50"/>
      <x:c r="E129" s="50" t="str">
        <x:f>IFERROR(VLOOKUP(D129,Inventory!$B:$D,2,FALSE),"")</x:f>
      </x:c>
      <x:c r="F129" s="50" t="str">
        <x:f>IFERROR(VLOOKUP(D129,Inventory!$B:$D,3,FALSE),"")</x:f>
      </x:c>
      <x:c r="G129" s="65" t="n">
        <x:v>0</x:v>
      </x:c>
      <x:c r="H129" s="66" t="n">
        <x:v>0</x:v>
      </x:c>
      <x:c r="I129" s="66" t="n">
        <x:f>G129*H129</x:f>
        <x:v>0</x:v>
      </x:c>
      <x:c r="J129" s="66" t="str">
        <x:f>IFERROR(VLOOKUP(D129,Inventory!$B:$F,4,FALSE),0)</x:f>
      </x:c>
      <x:c r="K129" s="66" t="n">
        <x:f>H129-J129</x:f>
        <x:v>0</x:v>
      </x:c>
      <x:c r="L129" s="66" t="n">
        <x:f>K129*G129</x:f>
        <x:v>0</x:v>
      </x:c>
      <x:c r="M129" s="50"/>
      <x:c r="N129" s="66"/>
      <x:c r="O129" s="50"/>
    </x:row>
    <x:row r="130">
      <x:c r="A130" s="50"/>
      <x:c r="B130" s="64"/>
      <x:c r="C130" s="50"/>
      <x:c r="D130" s="50"/>
      <x:c r="E130" s="50" t="str">
        <x:f>IFERROR(VLOOKUP(D130,Inventory!$B:$D,2,FALSE),"")</x:f>
      </x:c>
      <x:c r="F130" s="50" t="str">
        <x:f>IFERROR(VLOOKUP(D130,Inventory!$B:$D,3,FALSE),"")</x:f>
      </x:c>
      <x:c r="G130" s="65" t="n">
        <x:v>0</x:v>
      </x:c>
      <x:c r="H130" s="66" t="n">
        <x:v>0</x:v>
      </x:c>
      <x:c r="I130" s="66" t="n">
        <x:f>G130*H130</x:f>
        <x:v>0</x:v>
      </x:c>
      <x:c r="J130" s="66" t="str">
        <x:f>IFERROR(VLOOKUP(D130,Inventory!$B:$F,4,FALSE),0)</x:f>
      </x:c>
      <x:c r="K130" s="66" t="n">
        <x:f>H130-J130</x:f>
        <x:v>0</x:v>
      </x:c>
      <x:c r="L130" s="66" t="n">
        <x:f>K130*G130</x:f>
        <x:v>0</x:v>
      </x:c>
      <x:c r="M130" s="50"/>
      <x:c r="N130" s="66"/>
      <x:c r="O130" s="50"/>
    </x:row>
    <x:row r="131">
      <x:c r="A131" s="50"/>
      <x:c r="B131" s="64"/>
      <x:c r="C131" s="50"/>
      <x:c r="D131" s="50"/>
      <x:c r="E131" s="50" t="str">
        <x:f>IFERROR(VLOOKUP(D131,Inventory!$B:$D,2,FALSE),"")</x:f>
      </x:c>
      <x:c r="F131" s="50" t="str">
        <x:f>IFERROR(VLOOKUP(D131,Inventory!$B:$D,3,FALSE),"")</x:f>
      </x:c>
      <x:c r="G131" s="65" t="n">
        <x:v>0</x:v>
      </x:c>
      <x:c r="H131" s="66" t="n">
        <x:v>0</x:v>
      </x:c>
      <x:c r="I131" s="66" t="n">
        <x:f>G131*H131</x:f>
        <x:v>0</x:v>
      </x:c>
      <x:c r="J131" s="66" t="str">
        <x:f>IFERROR(VLOOKUP(D131,Inventory!$B:$F,4,FALSE),0)</x:f>
      </x:c>
      <x:c r="K131" s="66" t="n">
        <x:f>H131-J131</x:f>
        <x:v>0</x:v>
      </x:c>
      <x:c r="L131" s="66" t="n">
        <x:f>K131*G131</x:f>
        <x:v>0</x:v>
      </x:c>
      <x:c r="M131" s="50"/>
      <x:c r="N131" s="66"/>
      <x:c r="O131" s="50"/>
    </x:row>
    <x:row r="132">
      <x:c r="A132" s="50"/>
      <x:c r="B132" s="64"/>
      <x:c r="C132" s="50"/>
      <x:c r="D132" s="50"/>
      <x:c r="E132" s="50" t="str">
        <x:f>IFERROR(VLOOKUP(D132,Inventory!$B:$D,2,FALSE),"")</x:f>
      </x:c>
      <x:c r="F132" s="50" t="str">
        <x:f>IFERROR(VLOOKUP(D132,Inventory!$B:$D,3,FALSE),"")</x:f>
      </x:c>
      <x:c r="G132" s="65" t="n">
        <x:v>0</x:v>
      </x:c>
      <x:c r="H132" s="66" t="n">
        <x:v>0</x:v>
      </x:c>
      <x:c r="I132" s="66" t="n">
        <x:f>G132*H132</x:f>
        <x:v>0</x:v>
      </x:c>
      <x:c r="J132" s="66" t="str">
        <x:f>IFERROR(VLOOKUP(D132,Inventory!$B:$F,4,FALSE),0)</x:f>
      </x:c>
      <x:c r="K132" s="66" t="n">
        <x:f>H132-J132</x:f>
        <x:v>0</x:v>
      </x:c>
      <x:c r="L132" s="66" t="n">
        <x:f>K132*G132</x:f>
        <x:v>0</x:v>
      </x:c>
      <x:c r="M132" s="50"/>
      <x:c r="N132" s="66"/>
      <x:c r="O132" s="50"/>
    </x:row>
    <x:row r="133">
      <x:c r="A133" s="50"/>
      <x:c r="B133" s="64"/>
      <x:c r="C133" s="50"/>
      <x:c r="D133" s="50"/>
      <x:c r="E133" s="50" t="str">
        <x:f>IFERROR(VLOOKUP(D133,Inventory!$B:$D,2,FALSE),"")</x:f>
      </x:c>
      <x:c r="F133" s="50" t="str">
        <x:f>IFERROR(VLOOKUP(D133,Inventory!$B:$D,3,FALSE),"")</x:f>
      </x:c>
      <x:c r="G133" s="65" t="n">
        <x:v>0</x:v>
      </x:c>
      <x:c r="H133" s="66" t="n">
        <x:v>0</x:v>
      </x:c>
      <x:c r="I133" s="66" t="n">
        <x:f>G133*H133</x:f>
        <x:v>0</x:v>
      </x:c>
      <x:c r="J133" s="66" t="str">
        <x:f>IFERROR(VLOOKUP(D133,Inventory!$B:$F,4,FALSE),0)</x:f>
      </x:c>
      <x:c r="K133" s="66" t="n">
        <x:f>H133-J133</x:f>
        <x:v>0</x:v>
      </x:c>
      <x:c r="L133" s="66" t="n">
        <x:f>K133*G133</x:f>
        <x:v>0</x:v>
      </x:c>
      <x:c r="M133" s="50"/>
      <x:c r="N133" s="66"/>
      <x:c r="O133" s="50"/>
    </x:row>
    <x:row r="134">
      <x:c r="A134" s="50"/>
      <x:c r="B134" s="64"/>
      <x:c r="C134" s="50"/>
      <x:c r="D134" s="50"/>
      <x:c r="E134" s="50" t="str">
        <x:f>IFERROR(VLOOKUP(D134,Inventory!$B:$D,2,FALSE),"")</x:f>
      </x:c>
      <x:c r="F134" s="50" t="str">
        <x:f>IFERROR(VLOOKUP(D134,Inventory!$B:$D,3,FALSE),"")</x:f>
      </x:c>
      <x:c r="G134" s="65" t="n">
        <x:v>0</x:v>
      </x:c>
      <x:c r="H134" s="66" t="n">
        <x:v>0</x:v>
      </x:c>
      <x:c r="I134" s="66" t="n">
        <x:f>G134*H134</x:f>
        <x:v>0</x:v>
      </x:c>
      <x:c r="J134" s="66" t="str">
        <x:f>IFERROR(VLOOKUP(D134,Inventory!$B:$F,4,FALSE),0)</x:f>
      </x:c>
      <x:c r="K134" s="66" t="n">
        <x:f>H134-J134</x:f>
        <x:v>0</x:v>
      </x:c>
      <x:c r="L134" s="66" t="n">
        <x:f>K134*G134</x:f>
        <x:v>0</x:v>
      </x:c>
      <x:c r="M134" s="50"/>
      <x:c r="N134" s="66"/>
      <x:c r="O134" s="50"/>
    </x:row>
    <x:row r="135">
      <x:c r="A135" s="50"/>
      <x:c r="B135" s="64"/>
      <x:c r="C135" s="50"/>
      <x:c r="D135" s="50"/>
      <x:c r="E135" s="50" t="str">
        <x:f>IFERROR(VLOOKUP(D135,Inventory!$B:$D,2,FALSE),"")</x:f>
      </x:c>
      <x:c r="F135" s="50" t="str">
        <x:f>IFERROR(VLOOKUP(D135,Inventory!$B:$D,3,FALSE),"")</x:f>
      </x:c>
      <x:c r="G135" s="65" t="n">
        <x:v>0</x:v>
      </x:c>
      <x:c r="H135" s="66" t="n">
        <x:v>0</x:v>
      </x:c>
      <x:c r="I135" s="66" t="n">
        <x:f>G135*H135</x:f>
        <x:v>0</x:v>
      </x:c>
      <x:c r="J135" s="66" t="str">
        <x:f>IFERROR(VLOOKUP(D135,Inventory!$B:$F,4,FALSE),0)</x:f>
      </x:c>
      <x:c r="K135" s="66" t="n">
        <x:f>H135-J135</x:f>
        <x:v>0</x:v>
      </x:c>
      <x:c r="L135" s="66" t="n">
        <x:f>K135*G135</x:f>
        <x:v>0</x:v>
      </x:c>
      <x:c r="M135" s="50"/>
      <x:c r="N135" s="66"/>
      <x:c r="O135" s="50"/>
    </x:row>
    <x:row r="136">
      <x:c r="A136" s="50"/>
      <x:c r="B136" s="64"/>
      <x:c r="C136" s="50"/>
      <x:c r="D136" s="50"/>
      <x:c r="E136" s="50" t="str">
        <x:f>IFERROR(VLOOKUP(D136,Inventory!$B:$D,2,FALSE),"")</x:f>
      </x:c>
      <x:c r="F136" s="50" t="str">
        <x:f>IFERROR(VLOOKUP(D136,Inventory!$B:$D,3,FALSE),"")</x:f>
      </x:c>
      <x:c r="G136" s="65" t="n">
        <x:v>0</x:v>
      </x:c>
      <x:c r="H136" s="66" t="n">
        <x:v>0</x:v>
      </x:c>
      <x:c r="I136" s="66" t="n">
        <x:f>G136*H136</x:f>
        <x:v>0</x:v>
      </x:c>
      <x:c r="J136" s="66" t="str">
        <x:f>IFERROR(VLOOKUP(D136,Inventory!$B:$F,4,FALSE),0)</x:f>
      </x:c>
      <x:c r="K136" s="66" t="n">
        <x:f>H136-J136</x:f>
        <x:v>0</x:v>
      </x:c>
      <x:c r="L136" s="66" t="n">
        <x:f>K136*G136</x:f>
        <x:v>0</x:v>
      </x:c>
      <x:c r="M136" s="50"/>
      <x:c r="N136" s="66"/>
      <x:c r="O136" s="50"/>
    </x:row>
    <x:row r="137">
      <x:c r="A137" s="50"/>
      <x:c r="B137" s="64"/>
      <x:c r="C137" s="50"/>
      <x:c r="D137" s="50"/>
      <x:c r="E137" s="50" t="str">
        <x:f>IFERROR(VLOOKUP(D137,Inventory!$B:$D,2,FALSE),"")</x:f>
      </x:c>
      <x:c r="F137" s="50" t="str">
        <x:f>IFERROR(VLOOKUP(D137,Inventory!$B:$D,3,FALSE),"")</x:f>
      </x:c>
      <x:c r="G137" s="65" t="n">
        <x:v>0</x:v>
      </x:c>
      <x:c r="H137" s="66" t="n">
        <x:v>0</x:v>
      </x:c>
      <x:c r="I137" s="66" t="n">
        <x:f>G137*H137</x:f>
        <x:v>0</x:v>
      </x:c>
      <x:c r="J137" s="66" t="str">
        <x:f>IFERROR(VLOOKUP(D137,Inventory!$B:$F,4,FALSE),0)</x:f>
      </x:c>
      <x:c r="K137" s="66" t="n">
        <x:f>H137-J137</x:f>
        <x:v>0</x:v>
      </x:c>
      <x:c r="L137" s="66" t="n">
        <x:f>K137*G137</x:f>
        <x:v>0</x:v>
      </x:c>
      <x:c r="M137" s="50"/>
      <x:c r="N137" s="66"/>
      <x:c r="O137" s="50"/>
    </x:row>
    <x:row r="138">
      <x:c r="A138" s="50"/>
      <x:c r="B138" s="64"/>
      <x:c r="C138" s="50"/>
      <x:c r="D138" s="50"/>
      <x:c r="E138" s="50" t="str">
        <x:f>IFERROR(VLOOKUP(D138,Inventory!$B:$D,2,FALSE),"")</x:f>
      </x:c>
      <x:c r="F138" s="50" t="str">
        <x:f>IFERROR(VLOOKUP(D138,Inventory!$B:$D,3,FALSE),"")</x:f>
      </x:c>
      <x:c r="G138" s="65" t="n">
        <x:v>0</x:v>
      </x:c>
      <x:c r="H138" s="66" t="n">
        <x:v>0</x:v>
      </x:c>
      <x:c r="I138" s="66" t="n">
        <x:f>G138*H138</x:f>
        <x:v>0</x:v>
      </x:c>
      <x:c r="J138" s="66" t="str">
        <x:f>IFERROR(VLOOKUP(D138,Inventory!$B:$F,4,FALSE),0)</x:f>
      </x:c>
      <x:c r="K138" s="66" t="n">
        <x:f>H138-J138</x:f>
        <x:v>0</x:v>
      </x:c>
      <x:c r="L138" s="66" t="n">
        <x:f>K138*G138</x:f>
        <x:v>0</x:v>
      </x:c>
      <x:c r="M138" s="50"/>
      <x:c r="N138" s="66"/>
      <x:c r="O138" s="50"/>
    </x:row>
    <x:row r="139">
      <x:c r="A139" s="50"/>
      <x:c r="B139" s="64"/>
      <x:c r="C139" s="50"/>
      <x:c r="D139" s="50"/>
      <x:c r="E139" s="50" t="str">
        <x:f>IFERROR(VLOOKUP(D139,Inventory!$B:$D,2,FALSE),"")</x:f>
      </x:c>
      <x:c r="F139" s="50" t="str">
        <x:f>IFERROR(VLOOKUP(D139,Inventory!$B:$D,3,FALSE),"")</x:f>
      </x:c>
      <x:c r="G139" s="65" t="n">
        <x:v>0</x:v>
      </x:c>
      <x:c r="H139" s="66" t="n">
        <x:v>0</x:v>
      </x:c>
      <x:c r="I139" s="66" t="n">
        <x:f>G139*H139</x:f>
        <x:v>0</x:v>
      </x:c>
      <x:c r="J139" s="66" t="str">
        <x:f>IFERROR(VLOOKUP(D139,Inventory!$B:$F,4,FALSE),0)</x:f>
      </x:c>
      <x:c r="K139" s="66" t="n">
        <x:f>H139-J139</x:f>
        <x:v>0</x:v>
      </x:c>
      <x:c r="L139" s="66" t="n">
        <x:f>K139*G139</x:f>
        <x:v>0</x:v>
      </x:c>
      <x:c r="M139" s="50"/>
      <x:c r="N139" s="66"/>
      <x:c r="O139" s="50"/>
    </x:row>
    <x:row r="140">
      <x:c r="A140" s="50"/>
      <x:c r="B140" s="64"/>
      <x:c r="C140" s="50"/>
      <x:c r="D140" s="50"/>
      <x:c r="E140" s="50" t="str">
        <x:f>IFERROR(VLOOKUP(D140,Inventory!$B:$D,2,FALSE),"")</x:f>
      </x:c>
      <x:c r="F140" s="50" t="str">
        <x:f>IFERROR(VLOOKUP(D140,Inventory!$B:$D,3,FALSE),"")</x:f>
      </x:c>
      <x:c r="G140" s="65" t="n">
        <x:v>0</x:v>
      </x:c>
      <x:c r="H140" s="66" t="n">
        <x:v>0</x:v>
      </x:c>
      <x:c r="I140" s="66" t="n">
        <x:f>G140*H140</x:f>
        <x:v>0</x:v>
      </x:c>
      <x:c r="J140" s="66" t="str">
        <x:f>IFERROR(VLOOKUP(D140,Inventory!$B:$F,4,FALSE),0)</x:f>
      </x:c>
      <x:c r="K140" s="66" t="n">
        <x:f>H140-J140</x:f>
        <x:v>0</x:v>
      </x:c>
      <x:c r="L140" s="66" t="n">
        <x:f>K140*G140</x:f>
        <x:v>0</x:v>
      </x:c>
      <x:c r="M140" s="50"/>
      <x:c r="N140" s="66"/>
      <x:c r="O140" s="50"/>
    </x:row>
    <x:row r="141">
      <x:c r="A141" s="50"/>
      <x:c r="B141" s="64"/>
      <x:c r="C141" s="50"/>
      <x:c r="D141" s="50"/>
      <x:c r="E141" s="50" t="str">
        <x:f>IFERROR(VLOOKUP(D141,Inventory!$B:$D,2,FALSE),"")</x:f>
      </x:c>
      <x:c r="F141" s="50" t="str">
        <x:f>IFERROR(VLOOKUP(D141,Inventory!$B:$D,3,FALSE),"")</x:f>
      </x:c>
      <x:c r="G141" s="65" t="n">
        <x:v>0</x:v>
      </x:c>
      <x:c r="H141" s="66" t="n">
        <x:v>0</x:v>
      </x:c>
      <x:c r="I141" s="66" t="n">
        <x:f>G141*H141</x:f>
        <x:v>0</x:v>
      </x:c>
      <x:c r="J141" s="66" t="str">
        <x:f>IFERROR(VLOOKUP(D141,Inventory!$B:$F,4,FALSE),0)</x:f>
      </x:c>
      <x:c r="K141" s="66" t="n">
        <x:f>H141-J141</x:f>
        <x:v>0</x:v>
      </x:c>
      <x:c r="L141" s="66" t="n">
        <x:f>K141*G141</x:f>
        <x:v>0</x:v>
      </x:c>
      <x:c r="M141" s="50"/>
      <x:c r="N141" s="66"/>
      <x:c r="O141" s="50"/>
    </x:row>
    <x:row r="142">
      <x:c r="A142" s="50"/>
      <x:c r="B142" s="64"/>
      <x:c r="C142" s="50"/>
      <x:c r="D142" s="50"/>
      <x:c r="E142" s="50" t="str">
        <x:f>IFERROR(VLOOKUP(D142,Inventory!$B:$D,2,FALSE),"")</x:f>
      </x:c>
      <x:c r="F142" s="50" t="str">
        <x:f>IFERROR(VLOOKUP(D142,Inventory!$B:$D,3,FALSE),"")</x:f>
      </x:c>
      <x:c r="G142" s="65" t="n">
        <x:v>0</x:v>
      </x:c>
      <x:c r="H142" s="66" t="n">
        <x:v>0</x:v>
      </x:c>
      <x:c r="I142" s="66" t="n">
        <x:f>G142*H142</x:f>
        <x:v>0</x:v>
      </x:c>
      <x:c r="J142" s="66" t="str">
        <x:f>IFERROR(VLOOKUP(D142,Inventory!$B:$F,4,FALSE),0)</x:f>
      </x:c>
      <x:c r="K142" s="66" t="n">
        <x:f>H142-J142</x:f>
        <x:v>0</x:v>
      </x:c>
      <x:c r="L142" s="66" t="n">
        <x:f>K142*G142</x:f>
        <x:v>0</x:v>
      </x:c>
      <x:c r="M142" s="50"/>
      <x:c r="N142" s="66"/>
      <x:c r="O142" s="50"/>
    </x:row>
    <x:row r="143">
      <x:c r="A143" s="50"/>
      <x:c r="B143" s="64"/>
      <x:c r="C143" s="50"/>
      <x:c r="D143" s="50"/>
      <x:c r="E143" s="50" t="str">
        <x:f>IFERROR(VLOOKUP(D143,Inventory!$B:$D,2,FALSE),"")</x:f>
      </x:c>
      <x:c r="F143" s="50" t="str">
        <x:f>IFERROR(VLOOKUP(D143,Inventory!$B:$D,3,FALSE),"")</x:f>
      </x:c>
      <x:c r="G143" s="65" t="n">
        <x:v>0</x:v>
      </x:c>
      <x:c r="H143" s="66" t="n">
        <x:v>0</x:v>
      </x:c>
      <x:c r="I143" s="66" t="n">
        <x:f>G143*H143</x:f>
        <x:v>0</x:v>
      </x:c>
      <x:c r="J143" s="66" t="str">
        <x:f>IFERROR(VLOOKUP(D143,Inventory!$B:$F,4,FALSE),0)</x:f>
      </x:c>
      <x:c r="K143" s="66" t="n">
        <x:f>H143-J143</x:f>
        <x:v>0</x:v>
      </x:c>
      <x:c r="L143" s="66" t="n">
        <x:f>K143*G143</x:f>
        <x:v>0</x:v>
      </x:c>
      <x:c r="M143" s="50"/>
      <x:c r="N143" s="66"/>
      <x:c r="O143" s="50"/>
    </x:row>
    <x:row r="144">
      <x:c r="A144" s="50"/>
      <x:c r="B144" s="64"/>
      <x:c r="C144" s="50"/>
      <x:c r="D144" s="50"/>
      <x:c r="E144" s="50" t="str">
        <x:f>IFERROR(VLOOKUP(D144,Inventory!$B:$D,2,FALSE),"")</x:f>
      </x:c>
      <x:c r="F144" s="50" t="str">
        <x:f>IFERROR(VLOOKUP(D144,Inventory!$B:$D,3,FALSE),"")</x:f>
      </x:c>
      <x:c r="G144" s="65" t="n">
        <x:v>0</x:v>
      </x:c>
      <x:c r="H144" s="66" t="n">
        <x:v>0</x:v>
      </x:c>
      <x:c r="I144" s="66" t="n">
        <x:f>G144*H144</x:f>
        <x:v>0</x:v>
      </x:c>
      <x:c r="J144" s="66" t="str">
        <x:f>IFERROR(VLOOKUP(D144,Inventory!$B:$F,4,FALSE),0)</x:f>
      </x:c>
      <x:c r="K144" s="66" t="n">
        <x:f>H144-J144</x:f>
        <x:v>0</x:v>
      </x:c>
      <x:c r="L144" s="66" t="n">
        <x:f>K144*G144</x:f>
        <x:v>0</x:v>
      </x:c>
      <x:c r="M144" s="50"/>
      <x:c r="N144" s="66"/>
      <x:c r="O144" s="50"/>
    </x:row>
    <x:row r="145">
      <x:c r="A145" s="50"/>
      <x:c r="B145" s="64"/>
      <x:c r="C145" s="50"/>
      <x:c r="D145" s="50"/>
      <x:c r="E145" s="50" t="str">
        <x:f>IFERROR(VLOOKUP(D145,Inventory!$B:$D,2,FALSE),"")</x:f>
      </x:c>
      <x:c r="F145" s="50" t="str">
        <x:f>IFERROR(VLOOKUP(D145,Inventory!$B:$D,3,FALSE),"")</x:f>
      </x:c>
      <x:c r="G145" s="65" t="n">
        <x:v>0</x:v>
      </x:c>
      <x:c r="H145" s="66" t="n">
        <x:v>0</x:v>
      </x:c>
      <x:c r="I145" s="66" t="n">
        <x:f>G145*H145</x:f>
        <x:v>0</x:v>
      </x:c>
      <x:c r="J145" s="66" t="str">
        <x:f>IFERROR(VLOOKUP(D145,Inventory!$B:$F,4,FALSE),0)</x:f>
      </x:c>
      <x:c r="K145" s="66" t="n">
        <x:f>H145-J145</x:f>
        <x:v>0</x:v>
      </x:c>
      <x:c r="L145" s="66" t="n">
        <x:f>K145*G145</x:f>
        <x:v>0</x:v>
      </x:c>
      <x:c r="M145" s="50"/>
      <x:c r="N145" s="66"/>
      <x:c r="O145" s="50"/>
    </x:row>
    <x:row r="146">
      <x:c r="A146" s="50"/>
      <x:c r="B146" s="64"/>
      <x:c r="C146" s="50"/>
      <x:c r="D146" s="50"/>
      <x:c r="E146" s="50" t="str">
        <x:f>IFERROR(VLOOKUP(D146,Inventory!$B:$D,2,FALSE),"")</x:f>
      </x:c>
      <x:c r="F146" s="50" t="str">
        <x:f>IFERROR(VLOOKUP(D146,Inventory!$B:$D,3,FALSE),"")</x:f>
      </x:c>
      <x:c r="G146" s="65" t="n">
        <x:v>0</x:v>
      </x:c>
      <x:c r="H146" s="66" t="n">
        <x:v>0</x:v>
      </x:c>
      <x:c r="I146" s="66" t="n">
        <x:f>G146*H146</x:f>
        <x:v>0</x:v>
      </x:c>
      <x:c r="J146" s="66" t="str">
        <x:f>IFERROR(VLOOKUP(D146,Inventory!$B:$F,4,FALSE),0)</x:f>
      </x:c>
      <x:c r="K146" s="66" t="n">
        <x:f>H146-J146</x:f>
        <x:v>0</x:v>
      </x:c>
      <x:c r="L146" s="66" t="n">
        <x:f>K146*G146</x:f>
        <x:v>0</x:v>
      </x:c>
      <x:c r="M146" s="50"/>
      <x:c r="N146" s="66"/>
      <x:c r="O146" s="50"/>
    </x:row>
    <x:row r="147">
      <x:c r="A147" s="50"/>
      <x:c r="B147" s="64"/>
      <x:c r="C147" s="50"/>
      <x:c r="D147" s="50"/>
      <x:c r="E147" s="50" t="str">
        <x:f>IFERROR(VLOOKUP(D147,Inventory!$B:$D,2,FALSE),"")</x:f>
      </x:c>
      <x:c r="F147" s="50" t="str">
        <x:f>IFERROR(VLOOKUP(D147,Inventory!$B:$D,3,FALSE),"")</x:f>
      </x:c>
      <x:c r="G147" s="65" t="n">
        <x:v>0</x:v>
      </x:c>
      <x:c r="H147" s="66" t="n">
        <x:v>0</x:v>
      </x:c>
      <x:c r="I147" s="66" t="n">
        <x:f>G147*H147</x:f>
        <x:v>0</x:v>
      </x:c>
      <x:c r="J147" s="66" t="str">
        <x:f>IFERROR(VLOOKUP(D147,Inventory!$B:$F,4,FALSE),0)</x:f>
      </x:c>
      <x:c r="K147" s="66" t="n">
        <x:f>H147-J147</x:f>
        <x:v>0</x:v>
      </x:c>
      <x:c r="L147" s="66" t="n">
        <x:f>K147*G147</x:f>
        <x:v>0</x:v>
      </x:c>
      <x:c r="M147" s="50"/>
      <x:c r="N147" s="66"/>
      <x:c r="O147" s="50"/>
    </x:row>
    <x:row r="148">
      <x:c r="A148" s="50"/>
      <x:c r="B148" s="64"/>
      <x:c r="C148" s="50"/>
      <x:c r="D148" s="50"/>
      <x:c r="E148" s="50" t="str">
        <x:f>IFERROR(VLOOKUP(D148,Inventory!$B:$D,2,FALSE),"")</x:f>
      </x:c>
      <x:c r="F148" s="50" t="str">
        <x:f>IFERROR(VLOOKUP(D148,Inventory!$B:$D,3,FALSE),"")</x:f>
      </x:c>
      <x:c r="G148" s="65" t="n">
        <x:v>0</x:v>
      </x:c>
      <x:c r="H148" s="66" t="n">
        <x:v>0</x:v>
      </x:c>
      <x:c r="I148" s="66" t="n">
        <x:f>G148*H148</x:f>
        <x:v>0</x:v>
      </x:c>
      <x:c r="J148" s="66" t="str">
        <x:f>IFERROR(VLOOKUP(D148,Inventory!$B:$F,4,FALSE),0)</x:f>
      </x:c>
      <x:c r="K148" s="66" t="n">
        <x:f>H148-J148</x:f>
        <x:v>0</x:v>
      </x:c>
      <x:c r="L148" s="66" t="n">
        <x:f>K148*G148</x:f>
        <x:v>0</x:v>
      </x:c>
      <x:c r="M148" s="50"/>
      <x:c r="N148" s="66"/>
      <x:c r="O148" s="50"/>
    </x:row>
    <x:row r="149">
      <x:c r="A149" s="50"/>
      <x:c r="B149" s="64"/>
      <x:c r="C149" s="50"/>
      <x:c r="D149" s="50"/>
      <x:c r="E149" s="50" t="str">
        <x:f>IFERROR(VLOOKUP(D149,Inventory!$B:$D,2,FALSE),"")</x:f>
      </x:c>
      <x:c r="F149" s="50" t="str">
        <x:f>IFERROR(VLOOKUP(D149,Inventory!$B:$D,3,FALSE),"")</x:f>
      </x:c>
      <x:c r="G149" s="65" t="n">
        <x:v>0</x:v>
      </x:c>
      <x:c r="H149" s="66" t="n">
        <x:v>0</x:v>
      </x:c>
      <x:c r="I149" s="66" t="n">
        <x:f>G149*H149</x:f>
        <x:v>0</x:v>
      </x:c>
      <x:c r="J149" s="66" t="str">
        <x:f>IFERROR(VLOOKUP(D149,Inventory!$B:$F,4,FALSE),0)</x:f>
      </x:c>
      <x:c r="K149" s="66" t="n">
        <x:f>H149-J149</x:f>
        <x:v>0</x:v>
      </x:c>
      <x:c r="L149" s="66" t="n">
        <x:f>K149*G149</x:f>
        <x:v>0</x:v>
      </x:c>
      <x:c r="M149" s="50"/>
      <x:c r="N149" s="66"/>
      <x:c r="O149" s="50"/>
    </x:row>
    <x:row r="150">
      <x:c r="A150" s="50"/>
      <x:c r="B150" s="64"/>
      <x:c r="C150" s="50"/>
      <x:c r="D150" s="50"/>
      <x:c r="E150" s="50" t="str">
        <x:f>IFERROR(VLOOKUP(D150,Inventory!$B:$D,2,FALSE),"")</x:f>
      </x:c>
      <x:c r="F150" s="50" t="str">
        <x:f>IFERROR(VLOOKUP(D150,Inventory!$B:$D,3,FALSE),"")</x:f>
      </x:c>
      <x:c r="G150" s="65" t="n">
        <x:v>0</x:v>
      </x:c>
      <x:c r="H150" s="66" t="n">
        <x:v>0</x:v>
      </x:c>
      <x:c r="I150" s="66" t="n">
        <x:f>G150*H150</x:f>
        <x:v>0</x:v>
      </x:c>
      <x:c r="J150" s="66" t="str">
        <x:f>IFERROR(VLOOKUP(D150,Inventory!$B:$F,4,FALSE),0)</x:f>
      </x:c>
      <x:c r="K150" s="66" t="n">
        <x:f>H150-J150</x:f>
        <x:v>0</x:v>
      </x:c>
      <x:c r="L150" s="66" t="n">
        <x:f>K150*G150</x:f>
        <x:v>0</x:v>
      </x:c>
      <x:c r="M150" s="50"/>
      <x:c r="N150" s="66"/>
      <x:c r="O150" s="50"/>
    </x:row>
    <x:row r="151">
      <x:c r="A151" s="50"/>
      <x:c r="B151" s="64"/>
      <x:c r="C151" s="50"/>
      <x:c r="D151" s="50"/>
      <x:c r="E151" s="50" t="str">
        <x:f>IFERROR(VLOOKUP(D151,Inventory!$B:$D,2,FALSE),"")</x:f>
      </x:c>
      <x:c r="F151" s="50" t="str">
        <x:f>IFERROR(VLOOKUP(D151,Inventory!$B:$D,3,FALSE),"")</x:f>
      </x:c>
      <x:c r="G151" s="65" t="n">
        <x:v>0</x:v>
      </x:c>
      <x:c r="H151" s="66" t="n">
        <x:v>0</x:v>
      </x:c>
      <x:c r="I151" s="66" t="n">
        <x:f>G151*H151</x:f>
        <x:v>0</x:v>
      </x:c>
      <x:c r="J151" s="66" t="str">
        <x:f>IFERROR(VLOOKUP(D151,Inventory!$B:$F,4,FALSE),0)</x:f>
      </x:c>
      <x:c r="K151" s="66" t="n">
        <x:f>H151-J151</x:f>
        <x:v>0</x:v>
      </x:c>
      <x:c r="L151" s="66" t="n">
        <x:f>K151*G151</x:f>
        <x:v>0</x:v>
      </x:c>
      <x:c r="M151" s="50"/>
      <x:c r="N151" s="66"/>
      <x:c r="O151" s="50"/>
    </x:row>
    <x:row r="152">
      <x:c r="A152" s="50"/>
      <x:c r="B152" s="64"/>
      <x:c r="C152" s="50"/>
      <x:c r="D152" s="50"/>
      <x:c r="E152" s="50" t="str">
        <x:f>IFERROR(VLOOKUP(D152,Inventory!$B:$D,2,FALSE),"")</x:f>
      </x:c>
      <x:c r="F152" s="50" t="str">
        <x:f>IFERROR(VLOOKUP(D152,Inventory!$B:$D,3,FALSE),"")</x:f>
      </x:c>
      <x:c r="G152" s="65" t="n">
        <x:v>0</x:v>
      </x:c>
      <x:c r="H152" s="66" t="n">
        <x:v>0</x:v>
      </x:c>
      <x:c r="I152" s="66" t="n">
        <x:f>G152*H152</x:f>
        <x:v>0</x:v>
      </x:c>
      <x:c r="J152" s="66" t="str">
        <x:f>IFERROR(VLOOKUP(D152,Inventory!$B:$F,4,FALSE),0)</x:f>
      </x:c>
      <x:c r="K152" s="66" t="n">
        <x:f>H152-J152</x:f>
        <x:v>0</x:v>
      </x:c>
      <x:c r="L152" s="66" t="n">
        <x:f>K152*G152</x:f>
        <x:v>0</x:v>
      </x:c>
      <x:c r="M152" s="50"/>
      <x:c r="N152" s="66"/>
      <x:c r="O152" s="50"/>
    </x:row>
    <x:row r="153">
      <x:c r="A153" s="50"/>
      <x:c r="B153" s="64"/>
      <x:c r="C153" s="50"/>
      <x:c r="D153" s="50"/>
      <x:c r="E153" s="50" t="str">
        <x:f>IFERROR(VLOOKUP(D153,Inventory!$B:$D,2,FALSE),"")</x:f>
      </x:c>
      <x:c r="F153" s="50" t="str">
        <x:f>IFERROR(VLOOKUP(D153,Inventory!$B:$D,3,FALSE),"")</x:f>
      </x:c>
      <x:c r="G153" s="65" t="n">
        <x:v>0</x:v>
      </x:c>
      <x:c r="H153" s="66" t="n">
        <x:v>0</x:v>
      </x:c>
      <x:c r="I153" s="66" t="n">
        <x:f>G153*H153</x:f>
        <x:v>0</x:v>
      </x:c>
      <x:c r="J153" s="66" t="str">
        <x:f>IFERROR(VLOOKUP(D153,Inventory!$B:$F,4,FALSE),0)</x:f>
      </x:c>
      <x:c r="K153" s="66" t="n">
        <x:f>H153-J153</x:f>
        <x:v>0</x:v>
      </x:c>
      <x:c r="L153" s="66" t="n">
        <x:f>K153*G153</x:f>
        <x:v>0</x:v>
      </x:c>
      <x:c r="M153" s="50"/>
      <x:c r="N153" s="66"/>
      <x:c r="O153" s="50"/>
    </x:row>
    <x:row r="154">
      <x:c r="A154" s="50"/>
      <x:c r="B154" s="64"/>
      <x:c r="C154" s="50"/>
      <x:c r="D154" s="50"/>
      <x:c r="E154" s="50" t="str">
        <x:f>IFERROR(VLOOKUP(D154,Inventory!$B:$D,2,FALSE),"")</x:f>
      </x:c>
      <x:c r="F154" s="50" t="str">
        <x:f>IFERROR(VLOOKUP(D154,Inventory!$B:$D,3,FALSE),"")</x:f>
      </x:c>
      <x:c r="G154" s="65" t="n">
        <x:v>0</x:v>
      </x:c>
      <x:c r="H154" s="66" t="n">
        <x:v>0</x:v>
      </x:c>
      <x:c r="I154" s="66" t="n">
        <x:f>G154*H154</x:f>
        <x:v>0</x:v>
      </x:c>
      <x:c r="J154" s="66" t="str">
        <x:f>IFERROR(VLOOKUP(D154,Inventory!$B:$F,4,FALSE),0)</x:f>
      </x:c>
      <x:c r="K154" s="66" t="n">
        <x:f>H154-J154</x:f>
        <x:v>0</x:v>
      </x:c>
      <x:c r="L154" s="66" t="n">
        <x:f>K154*G154</x:f>
        <x:v>0</x:v>
      </x:c>
      <x:c r="M154" s="50"/>
      <x:c r="N154" s="66"/>
      <x:c r="O154" s="50"/>
    </x:row>
    <x:row r="155">
      <x:c r="A155" s="50"/>
      <x:c r="B155" s="64"/>
      <x:c r="C155" s="50"/>
      <x:c r="D155" s="50"/>
      <x:c r="E155" s="50" t="str">
        <x:f>IFERROR(VLOOKUP(D155,Inventory!$B:$D,2,FALSE),"")</x:f>
      </x:c>
      <x:c r="F155" s="50" t="str">
        <x:f>IFERROR(VLOOKUP(D155,Inventory!$B:$D,3,FALSE),"")</x:f>
      </x:c>
      <x:c r="G155" s="65" t="n">
        <x:v>0</x:v>
      </x:c>
      <x:c r="H155" s="66" t="n">
        <x:v>0</x:v>
      </x:c>
      <x:c r="I155" s="66" t="n">
        <x:f>G155*H155</x:f>
        <x:v>0</x:v>
      </x:c>
      <x:c r="J155" s="66" t="str">
        <x:f>IFERROR(VLOOKUP(D155,Inventory!$B:$F,4,FALSE),0)</x:f>
      </x:c>
      <x:c r="K155" s="66" t="n">
        <x:f>H155-J155</x:f>
        <x:v>0</x:v>
      </x:c>
      <x:c r="L155" s="66" t="n">
        <x:f>K155*G155</x:f>
        <x:v>0</x:v>
      </x:c>
      <x:c r="M155" s="50"/>
      <x:c r="N155" s="66"/>
      <x:c r="O155" s="50"/>
    </x:row>
    <x:row r="156">
      <x:c r="A156" s="50"/>
      <x:c r="B156" s="64"/>
      <x:c r="C156" s="50"/>
      <x:c r="D156" s="50"/>
      <x:c r="E156" s="50" t="str">
        <x:f>IFERROR(VLOOKUP(D156,Inventory!$B:$D,2,FALSE),"")</x:f>
      </x:c>
      <x:c r="F156" s="50" t="str">
        <x:f>IFERROR(VLOOKUP(D156,Inventory!$B:$D,3,FALSE),"")</x:f>
      </x:c>
      <x:c r="G156" s="65" t="n">
        <x:v>0</x:v>
      </x:c>
      <x:c r="H156" s="66" t="n">
        <x:v>0</x:v>
      </x:c>
      <x:c r="I156" s="66" t="n">
        <x:f>G156*H156</x:f>
        <x:v>0</x:v>
      </x:c>
      <x:c r="J156" s="66" t="str">
        <x:f>IFERROR(VLOOKUP(D156,Inventory!$B:$F,4,FALSE),0)</x:f>
      </x:c>
      <x:c r="K156" s="66" t="n">
        <x:f>H156-J156</x:f>
        <x:v>0</x:v>
      </x:c>
      <x:c r="L156" s="66" t="n">
        <x:f>K156*G156</x:f>
        <x:v>0</x:v>
      </x:c>
      <x:c r="M156" s="50"/>
      <x:c r="N156" s="66"/>
      <x:c r="O156" s="50"/>
    </x:row>
    <x:row r="157">
      <x:c r="A157" s="50"/>
      <x:c r="B157" s="64"/>
      <x:c r="C157" s="50"/>
      <x:c r="D157" s="50"/>
      <x:c r="E157" s="50" t="str">
        <x:f>IFERROR(VLOOKUP(D157,Inventory!$B:$D,2,FALSE),"")</x:f>
      </x:c>
      <x:c r="F157" s="50" t="str">
        <x:f>IFERROR(VLOOKUP(D157,Inventory!$B:$D,3,FALSE),"")</x:f>
      </x:c>
      <x:c r="G157" s="65" t="n">
        <x:v>0</x:v>
      </x:c>
      <x:c r="H157" s="66" t="n">
        <x:v>0</x:v>
      </x:c>
      <x:c r="I157" s="66" t="n">
        <x:f>G157*H157</x:f>
        <x:v>0</x:v>
      </x:c>
      <x:c r="J157" s="66" t="str">
        <x:f>IFERROR(VLOOKUP(D157,Inventory!$B:$F,4,FALSE),0)</x:f>
      </x:c>
      <x:c r="K157" s="66" t="n">
        <x:f>H157-J157</x:f>
        <x:v>0</x:v>
      </x:c>
      <x:c r="L157" s="66" t="n">
        <x:f>K157*G157</x:f>
        <x:v>0</x:v>
      </x:c>
      <x:c r="M157" s="50"/>
      <x:c r="N157" s="66"/>
      <x:c r="O157" s="50"/>
    </x:row>
    <x:row r="158">
      <x:c r="A158" s="50"/>
      <x:c r="B158" s="64"/>
      <x:c r="C158" s="50"/>
      <x:c r="D158" s="50"/>
      <x:c r="E158" s="50" t="str">
        <x:f>IFERROR(VLOOKUP(D158,Inventory!$B:$D,2,FALSE),"")</x:f>
      </x:c>
      <x:c r="F158" s="50" t="str">
        <x:f>IFERROR(VLOOKUP(D158,Inventory!$B:$D,3,FALSE),"")</x:f>
      </x:c>
      <x:c r="G158" s="65" t="n">
        <x:v>0</x:v>
      </x:c>
      <x:c r="H158" s="66" t="n">
        <x:v>0</x:v>
      </x:c>
      <x:c r="I158" s="66" t="n">
        <x:f>G158*H158</x:f>
        <x:v>0</x:v>
      </x:c>
      <x:c r="J158" s="66" t="str">
        <x:f>IFERROR(VLOOKUP(D158,Inventory!$B:$F,4,FALSE),0)</x:f>
      </x:c>
      <x:c r="K158" s="66" t="n">
        <x:f>H158-J158</x:f>
        <x:v>0</x:v>
      </x:c>
      <x:c r="L158" s="66" t="n">
        <x:f>K158*G158</x:f>
        <x:v>0</x:v>
      </x:c>
      <x:c r="M158" s="50"/>
      <x:c r="N158" s="66"/>
      <x:c r="O158" s="50"/>
    </x:row>
    <x:row r="159">
      <x:c r="A159" s="50"/>
      <x:c r="B159" s="64"/>
      <x:c r="C159" s="50"/>
      <x:c r="D159" s="50"/>
      <x:c r="E159" s="50" t="str">
        <x:f>IFERROR(VLOOKUP(D159,Inventory!$B:$D,2,FALSE),"")</x:f>
      </x:c>
      <x:c r="F159" s="50" t="str">
        <x:f>IFERROR(VLOOKUP(D159,Inventory!$B:$D,3,FALSE),"")</x:f>
      </x:c>
      <x:c r="G159" s="65" t="n">
        <x:v>0</x:v>
      </x:c>
      <x:c r="H159" s="66" t="n">
        <x:v>0</x:v>
      </x:c>
      <x:c r="I159" s="66" t="n">
        <x:f>G159*H159</x:f>
        <x:v>0</x:v>
      </x:c>
      <x:c r="J159" s="66" t="str">
        <x:f>IFERROR(VLOOKUP(D159,Inventory!$B:$F,4,FALSE),0)</x:f>
      </x:c>
      <x:c r="K159" s="66" t="n">
        <x:f>H159-J159</x:f>
        <x:v>0</x:v>
      </x:c>
      <x:c r="L159" s="66" t="n">
        <x:f>K159*G159</x:f>
        <x:v>0</x:v>
      </x:c>
      <x:c r="M159" s="50"/>
      <x:c r="N159" s="66"/>
      <x:c r="O159" s="50"/>
    </x:row>
    <x:row r="160">
      <x:c r="A160" s="50"/>
      <x:c r="B160" s="64"/>
      <x:c r="C160" s="50"/>
      <x:c r="D160" s="50"/>
      <x:c r="E160" s="50" t="str">
        <x:f>IFERROR(VLOOKUP(D160,Inventory!$B:$D,2,FALSE),"")</x:f>
      </x:c>
      <x:c r="F160" s="50" t="str">
        <x:f>IFERROR(VLOOKUP(D160,Inventory!$B:$D,3,FALSE),"")</x:f>
      </x:c>
      <x:c r="G160" s="65" t="n">
        <x:v>0</x:v>
      </x:c>
      <x:c r="H160" s="66" t="n">
        <x:v>0</x:v>
      </x:c>
      <x:c r="I160" s="66" t="n">
        <x:f>G160*H160</x:f>
        <x:v>0</x:v>
      </x:c>
      <x:c r="J160" s="66" t="str">
        <x:f>IFERROR(VLOOKUP(D160,Inventory!$B:$F,4,FALSE),0)</x:f>
      </x:c>
      <x:c r="K160" s="66" t="n">
        <x:f>H160-J160</x:f>
        <x:v>0</x:v>
      </x:c>
      <x:c r="L160" s="66" t="n">
        <x:f>K160*G160</x:f>
        <x:v>0</x:v>
      </x:c>
      <x:c r="M160" s="50"/>
      <x:c r="N160" s="66"/>
      <x:c r="O160" s="50"/>
    </x:row>
    <x:row r="161">
      <x:c r="A161" s="50"/>
      <x:c r="B161" s="64"/>
      <x:c r="C161" s="50"/>
      <x:c r="D161" s="50"/>
      <x:c r="E161" s="50" t="str">
        <x:f>IFERROR(VLOOKUP(D161,Inventory!$B:$D,2,FALSE),"")</x:f>
      </x:c>
      <x:c r="F161" s="50" t="str">
        <x:f>IFERROR(VLOOKUP(D161,Inventory!$B:$D,3,FALSE),"")</x:f>
      </x:c>
      <x:c r="G161" s="65" t="n">
        <x:v>0</x:v>
      </x:c>
      <x:c r="H161" s="66" t="n">
        <x:v>0</x:v>
      </x:c>
      <x:c r="I161" s="66" t="n">
        <x:f>G161*H161</x:f>
        <x:v>0</x:v>
      </x:c>
      <x:c r="J161" s="66" t="str">
        <x:f>IFERROR(VLOOKUP(D161,Inventory!$B:$F,4,FALSE),0)</x:f>
      </x:c>
      <x:c r="K161" s="66" t="n">
        <x:f>H161-J161</x:f>
        <x:v>0</x:v>
      </x:c>
      <x:c r="L161" s="66" t="n">
        <x:f>K161*G161</x:f>
        <x:v>0</x:v>
      </x:c>
      <x:c r="M161" s="50"/>
      <x:c r="N161" s="66"/>
      <x:c r="O161" s="50"/>
    </x:row>
    <x:row r="162">
      <x:c r="A162" s="50"/>
      <x:c r="B162" s="64"/>
      <x:c r="C162" s="50"/>
      <x:c r="D162" s="50"/>
      <x:c r="E162" s="50" t="str">
        <x:f>IFERROR(VLOOKUP(D162,Inventory!$B:$D,2,FALSE),"")</x:f>
      </x:c>
      <x:c r="F162" s="50" t="str">
        <x:f>IFERROR(VLOOKUP(D162,Inventory!$B:$D,3,FALSE),"")</x:f>
      </x:c>
      <x:c r="G162" s="65" t="n">
        <x:v>0</x:v>
      </x:c>
      <x:c r="H162" s="66" t="n">
        <x:v>0</x:v>
      </x:c>
      <x:c r="I162" s="66" t="n">
        <x:f>G162*H162</x:f>
        <x:v>0</x:v>
      </x:c>
      <x:c r="J162" s="66" t="str">
        <x:f>IFERROR(VLOOKUP(D162,Inventory!$B:$F,4,FALSE),0)</x:f>
      </x:c>
      <x:c r="K162" s="66" t="n">
        <x:f>H162-J162</x:f>
        <x:v>0</x:v>
      </x:c>
      <x:c r="L162" s="66" t="n">
        <x:f>K162*G162</x:f>
        <x:v>0</x:v>
      </x:c>
      <x:c r="M162" s="50"/>
      <x:c r="N162" s="66"/>
      <x:c r="O162" s="50"/>
    </x:row>
    <x:row r="163">
      <x:c r="A163" s="50"/>
      <x:c r="B163" s="64"/>
      <x:c r="C163" s="50"/>
      <x:c r="D163" s="50"/>
      <x:c r="E163" s="50" t="str">
        <x:f>IFERROR(VLOOKUP(D163,Inventory!$B:$D,2,FALSE),"")</x:f>
      </x:c>
      <x:c r="F163" s="50" t="str">
        <x:f>IFERROR(VLOOKUP(D163,Inventory!$B:$D,3,FALSE),"")</x:f>
      </x:c>
      <x:c r="G163" s="65" t="n">
        <x:v>0</x:v>
      </x:c>
      <x:c r="H163" s="66" t="n">
        <x:v>0</x:v>
      </x:c>
      <x:c r="I163" s="66" t="n">
        <x:f>G163*H163</x:f>
        <x:v>0</x:v>
      </x:c>
      <x:c r="J163" s="66" t="str">
        <x:f>IFERROR(VLOOKUP(D163,Inventory!$B:$F,4,FALSE),0)</x:f>
      </x:c>
      <x:c r="K163" s="66" t="n">
        <x:f>H163-J163</x:f>
        <x:v>0</x:v>
      </x:c>
      <x:c r="L163" s="66" t="n">
        <x:f>K163*G163</x:f>
        <x:v>0</x:v>
      </x:c>
      <x:c r="M163" s="50"/>
      <x:c r="N163" s="66"/>
      <x:c r="O163" s="50"/>
    </x:row>
    <x:row r="164">
      <x:c r="A164" s="50"/>
      <x:c r="B164" s="64"/>
      <x:c r="C164" s="50"/>
      <x:c r="D164" s="50"/>
      <x:c r="E164" s="50" t="str">
        <x:f>IFERROR(VLOOKUP(D164,Inventory!$B:$D,2,FALSE),"")</x:f>
      </x:c>
      <x:c r="F164" s="50" t="str">
        <x:f>IFERROR(VLOOKUP(D164,Inventory!$B:$D,3,FALSE),"")</x:f>
      </x:c>
      <x:c r="G164" s="65" t="n">
        <x:v>0</x:v>
      </x:c>
      <x:c r="H164" s="66" t="n">
        <x:v>0</x:v>
      </x:c>
      <x:c r="I164" s="66" t="n">
        <x:f>G164*H164</x:f>
        <x:v>0</x:v>
      </x:c>
      <x:c r="J164" s="66" t="str">
        <x:f>IFERROR(VLOOKUP(D164,Inventory!$B:$F,4,FALSE),0)</x:f>
      </x:c>
      <x:c r="K164" s="66" t="n">
        <x:f>H164-J164</x:f>
        <x:v>0</x:v>
      </x:c>
      <x:c r="L164" s="66" t="n">
        <x:f>K164*G164</x:f>
        <x:v>0</x:v>
      </x:c>
      <x:c r="M164" s="50"/>
      <x:c r="N164" s="66"/>
      <x:c r="O164" s="50"/>
    </x:row>
    <x:row r="165">
      <x:c r="A165" s="50"/>
      <x:c r="B165" s="64"/>
      <x:c r="C165" s="50"/>
      <x:c r="D165" s="50"/>
      <x:c r="E165" s="50" t="str">
        <x:f>IFERROR(VLOOKUP(D165,Inventory!$B:$D,2,FALSE),"")</x:f>
      </x:c>
      <x:c r="F165" s="50" t="str">
        <x:f>IFERROR(VLOOKUP(D165,Inventory!$B:$D,3,FALSE),"")</x:f>
      </x:c>
      <x:c r="G165" s="65" t="n">
        <x:v>0</x:v>
      </x:c>
      <x:c r="H165" s="66" t="n">
        <x:v>0</x:v>
      </x:c>
      <x:c r="I165" s="66" t="n">
        <x:f>G165*H165</x:f>
        <x:v>0</x:v>
      </x:c>
      <x:c r="J165" s="66" t="str">
        <x:f>IFERROR(VLOOKUP(D165,Inventory!$B:$F,4,FALSE),0)</x:f>
      </x:c>
      <x:c r="K165" s="66" t="n">
        <x:f>H165-J165</x:f>
        <x:v>0</x:v>
      </x:c>
      <x:c r="L165" s="66" t="n">
        <x:f>K165*G165</x:f>
        <x:v>0</x:v>
      </x:c>
      <x:c r="M165" s="50"/>
      <x:c r="N165" s="66"/>
      <x:c r="O165" s="50"/>
    </x:row>
    <x:row r="166">
      <x:c r="A166" s="50"/>
      <x:c r="B166" s="64"/>
      <x:c r="C166" s="50"/>
      <x:c r="D166" s="50"/>
      <x:c r="E166" s="50" t="str">
        <x:f>IFERROR(VLOOKUP(D166,Inventory!$B:$D,2,FALSE),"")</x:f>
      </x:c>
      <x:c r="F166" s="50" t="str">
        <x:f>IFERROR(VLOOKUP(D166,Inventory!$B:$D,3,FALSE),"")</x:f>
      </x:c>
      <x:c r="G166" s="65" t="n">
        <x:v>0</x:v>
      </x:c>
      <x:c r="H166" s="66" t="n">
        <x:v>0</x:v>
      </x:c>
      <x:c r="I166" s="66" t="n">
        <x:f>G166*H166</x:f>
        <x:v>0</x:v>
      </x:c>
      <x:c r="J166" s="66" t="str">
        <x:f>IFERROR(VLOOKUP(D166,Inventory!$B:$F,4,FALSE),0)</x:f>
      </x:c>
      <x:c r="K166" s="66" t="n">
        <x:f>H166-J166</x:f>
        <x:v>0</x:v>
      </x:c>
      <x:c r="L166" s="66" t="n">
        <x:f>K166*G166</x:f>
        <x:v>0</x:v>
      </x:c>
      <x:c r="M166" s="50"/>
      <x:c r="N166" s="66"/>
      <x:c r="O166" s="50"/>
    </x:row>
    <x:row r="167">
      <x:c r="A167" s="50"/>
      <x:c r="B167" s="64"/>
      <x:c r="C167" s="50"/>
      <x:c r="D167" s="50"/>
      <x:c r="E167" s="50" t="str">
        <x:f>IFERROR(VLOOKUP(D167,Inventory!$B:$D,2,FALSE),"")</x:f>
      </x:c>
      <x:c r="F167" s="50" t="str">
        <x:f>IFERROR(VLOOKUP(D167,Inventory!$B:$D,3,FALSE),"")</x:f>
      </x:c>
      <x:c r="G167" s="65" t="n">
        <x:v>0</x:v>
      </x:c>
      <x:c r="H167" s="66" t="n">
        <x:v>0</x:v>
      </x:c>
      <x:c r="I167" s="66" t="n">
        <x:f>G167*H167</x:f>
        <x:v>0</x:v>
      </x:c>
      <x:c r="J167" s="66" t="str">
        <x:f>IFERROR(VLOOKUP(D167,Inventory!$B:$F,4,FALSE),0)</x:f>
      </x:c>
      <x:c r="K167" s="66" t="n">
        <x:f>H167-J167</x:f>
        <x:v>0</x:v>
      </x:c>
      <x:c r="L167" s="66" t="n">
        <x:f>K167*G167</x:f>
        <x:v>0</x:v>
      </x:c>
      <x:c r="M167" s="50"/>
      <x:c r="N167" s="66"/>
      <x:c r="O167" s="50"/>
    </x:row>
    <x:row r="168">
      <x:c r="A168" s="50"/>
      <x:c r="B168" s="64"/>
      <x:c r="C168" s="50"/>
      <x:c r="D168" s="50"/>
      <x:c r="E168" s="50" t="str">
        <x:f>IFERROR(VLOOKUP(D168,Inventory!$B:$D,2,FALSE),"")</x:f>
      </x:c>
      <x:c r="F168" s="50" t="str">
        <x:f>IFERROR(VLOOKUP(D168,Inventory!$B:$D,3,FALSE),"")</x:f>
      </x:c>
      <x:c r="G168" s="65" t="n">
        <x:v>0</x:v>
      </x:c>
      <x:c r="H168" s="66" t="n">
        <x:v>0</x:v>
      </x:c>
      <x:c r="I168" s="66" t="n">
        <x:f>G168*H168</x:f>
        <x:v>0</x:v>
      </x:c>
      <x:c r="J168" s="66" t="str">
        <x:f>IFERROR(VLOOKUP(D168,Inventory!$B:$F,4,FALSE),0)</x:f>
      </x:c>
      <x:c r="K168" s="66" t="n">
        <x:f>H168-J168</x:f>
        <x:v>0</x:v>
      </x:c>
      <x:c r="L168" s="66" t="n">
        <x:f>K168*G168</x:f>
        <x:v>0</x:v>
      </x:c>
      <x:c r="M168" s="50"/>
      <x:c r="N168" s="66"/>
      <x:c r="O168" s="50"/>
    </x:row>
    <x:row r="169">
      <x:c r="A169" s="50"/>
      <x:c r="B169" s="64"/>
      <x:c r="C169" s="50"/>
      <x:c r="D169" s="50"/>
      <x:c r="E169" s="50" t="str">
        <x:f>IFERROR(VLOOKUP(D169,Inventory!$B:$D,2,FALSE),"")</x:f>
      </x:c>
      <x:c r="F169" s="50" t="str">
        <x:f>IFERROR(VLOOKUP(D169,Inventory!$B:$D,3,FALSE),"")</x:f>
      </x:c>
      <x:c r="G169" s="65" t="n">
        <x:v>0</x:v>
      </x:c>
      <x:c r="H169" s="66" t="n">
        <x:v>0</x:v>
      </x:c>
      <x:c r="I169" s="66" t="n">
        <x:f>G169*H169</x:f>
        <x:v>0</x:v>
      </x:c>
      <x:c r="J169" s="66" t="str">
        <x:f>IFERROR(VLOOKUP(D169,Inventory!$B:$F,4,FALSE),0)</x:f>
      </x:c>
      <x:c r="K169" s="66" t="n">
        <x:f>H169-J169</x:f>
        <x:v>0</x:v>
      </x:c>
      <x:c r="L169" s="66" t="n">
        <x:f>K169*G169</x:f>
        <x:v>0</x:v>
      </x:c>
      <x:c r="M169" s="50"/>
      <x:c r="N169" s="66"/>
      <x:c r="O169" s="50"/>
    </x:row>
    <x:row r="170">
      <x:c r="A170" s="50"/>
      <x:c r="B170" s="64"/>
      <x:c r="C170" s="50"/>
      <x:c r="D170" s="50"/>
      <x:c r="E170" s="50" t="str">
        <x:f>IFERROR(VLOOKUP(D170,Inventory!$B:$D,2,FALSE),"")</x:f>
      </x:c>
      <x:c r="F170" s="50" t="str">
        <x:f>IFERROR(VLOOKUP(D170,Inventory!$B:$D,3,FALSE),"")</x:f>
      </x:c>
      <x:c r="G170" s="65" t="n">
        <x:v>0</x:v>
      </x:c>
      <x:c r="H170" s="66" t="n">
        <x:v>0</x:v>
      </x:c>
      <x:c r="I170" s="66" t="n">
        <x:f>G170*H170</x:f>
        <x:v>0</x:v>
      </x:c>
      <x:c r="J170" s="66" t="str">
        <x:f>IFERROR(VLOOKUP(D170,Inventory!$B:$F,4,FALSE),0)</x:f>
      </x:c>
      <x:c r="K170" s="66" t="n">
        <x:f>H170-J170</x:f>
        <x:v>0</x:v>
      </x:c>
      <x:c r="L170" s="66" t="n">
        <x:f>K170*G170</x:f>
        <x:v>0</x:v>
      </x:c>
      <x:c r="M170" s="50"/>
      <x:c r="N170" s="66"/>
      <x:c r="O170" s="50"/>
    </x:row>
    <x:row r="171">
      <x:c r="A171" s="50"/>
      <x:c r="B171" s="64"/>
      <x:c r="C171" s="50"/>
      <x:c r="D171" s="50"/>
      <x:c r="E171" s="50" t="str">
        <x:f>IFERROR(VLOOKUP(D171,Inventory!$B:$D,2,FALSE),"")</x:f>
      </x:c>
      <x:c r="F171" s="50" t="str">
        <x:f>IFERROR(VLOOKUP(D171,Inventory!$B:$D,3,FALSE),"")</x:f>
      </x:c>
      <x:c r="G171" s="65" t="n">
        <x:v>0</x:v>
      </x:c>
      <x:c r="H171" s="66" t="n">
        <x:v>0</x:v>
      </x:c>
      <x:c r="I171" s="66" t="n">
        <x:f>G171*H171</x:f>
        <x:v>0</x:v>
      </x:c>
      <x:c r="J171" s="66" t="str">
        <x:f>IFERROR(VLOOKUP(D171,Inventory!$B:$F,4,FALSE),0)</x:f>
      </x:c>
      <x:c r="K171" s="66" t="n">
        <x:f>H171-J171</x:f>
        <x:v>0</x:v>
      </x:c>
      <x:c r="L171" s="66" t="n">
        <x:f>K171*G171</x:f>
        <x:v>0</x:v>
      </x:c>
      <x:c r="M171" s="50"/>
      <x:c r="N171" s="66"/>
      <x:c r="O171" s="50"/>
    </x:row>
    <x:row r="172">
      <x:c r="A172" s="50"/>
      <x:c r="B172" s="64"/>
      <x:c r="C172" s="50"/>
      <x:c r="D172" s="50"/>
      <x:c r="E172" s="50" t="str">
        <x:f>IFERROR(VLOOKUP(D172,Inventory!$B:$D,2,FALSE),"")</x:f>
      </x:c>
      <x:c r="F172" s="50" t="str">
        <x:f>IFERROR(VLOOKUP(D172,Inventory!$B:$D,3,FALSE),"")</x:f>
      </x:c>
      <x:c r="G172" s="65" t="n">
        <x:v>0</x:v>
      </x:c>
      <x:c r="H172" s="66" t="n">
        <x:v>0</x:v>
      </x:c>
      <x:c r="I172" s="66" t="n">
        <x:f>G172*H172</x:f>
        <x:v>0</x:v>
      </x:c>
      <x:c r="J172" s="66" t="str">
        <x:f>IFERROR(VLOOKUP(D172,Inventory!$B:$F,4,FALSE),0)</x:f>
      </x:c>
      <x:c r="K172" s="66" t="n">
        <x:f>H172-J172</x:f>
        <x:v>0</x:v>
      </x:c>
      <x:c r="L172" s="66" t="n">
        <x:f>K172*G172</x:f>
        <x:v>0</x:v>
      </x:c>
      <x:c r="M172" s="50"/>
      <x:c r="N172" s="66"/>
      <x:c r="O172" s="50"/>
    </x:row>
    <x:row r="173">
      <x:c r="A173" s="50"/>
      <x:c r="B173" s="64"/>
      <x:c r="C173" s="50"/>
      <x:c r="D173" s="50"/>
      <x:c r="E173" s="50" t="str">
        <x:f>IFERROR(VLOOKUP(D173,Inventory!$B:$D,2,FALSE),"")</x:f>
      </x:c>
      <x:c r="F173" s="50" t="str">
        <x:f>IFERROR(VLOOKUP(D173,Inventory!$B:$D,3,FALSE),"")</x:f>
      </x:c>
      <x:c r="G173" s="65" t="n">
        <x:v>0</x:v>
      </x:c>
      <x:c r="H173" s="66" t="n">
        <x:v>0</x:v>
      </x:c>
      <x:c r="I173" s="66" t="n">
        <x:f>G173*H173</x:f>
        <x:v>0</x:v>
      </x:c>
      <x:c r="J173" s="66" t="str">
        <x:f>IFERROR(VLOOKUP(D173,Inventory!$B:$F,4,FALSE),0)</x:f>
      </x:c>
      <x:c r="K173" s="66" t="n">
        <x:f>H173-J173</x:f>
        <x:v>0</x:v>
      </x:c>
      <x:c r="L173" s="66" t="n">
        <x:f>K173*G173</x:f>
        <x:v>0</x:v>
      </x:c>
      <x:c r="M173" s="50"/>
      <x:c r="N173" s="66"/>
      <x:c r="O173" s="50"/>
    </x:row>
    <x:row r="174">
      <x:c r="A174" s="50"/>
      <x:c r="B174" s="64"/>
      <x:c r="C174" s="50"/>
      <x:c r="D174" s="50"/>
      <x:c r="E174" s="50" t="str">
        <x:f>IFERROR(VLOOKUP(D174,Inventory!$B:$D,2,FALSE),"")</x:f>
      </x:c>
      <x:c r="F174" s="50" t="str">
        <x:f>IFERROR(VLOOKUP(D174,Inventory!$B:$D,3,FALSE),"")</x:f>
      </x:c>
      <x:c r="G174" s="65" t="n">
        <x:v>0</x:v>
      </x:c>
      <x:c r="H174" s="66" t="n">
        <x:v>0</x:v>
      </x:c>
      <x:c r="I174" s="66" t="n">
        <x:f>G174*H174</x:f>
        <x:v>0</x:v>
      </x:c>
      <x:c r="J174" s="66" t="str">
        <x:f>IFERROR(VLOOKUP(D174,Inventory!$B:$F,4,FALSE),0)</x:f>
      </x:c>
      <x:c r="K174" s="66" t="n">
        <x:f>H174-J174</x:f>
        <x:v>0</x:v>
      </x:c>
      <x:c r="L174" s="66" t="n">
        <x:f>K174*G174</x:f>
        <x:v>0</x:v>
      </x:c>
      <x:c r="M174" s="50"/>
      <x:c r="N174" s="66"/>
      <x:c r="O174" s="50"/>
    </x:row>
    <x:row r="175">
      <x:c r="A175" s="50"/>
      <x:c r="B175" s="64"/>
      <x:c r="C175" s="50"/>
      <x:c r="D175" s="50"/>
      <x:c r="E175" s="50" t="str">
        <x:f>IFERROR(VLOOKUP(D175,Inventory!$B:$D,2,FALSE),"")</x:f>
      </x:c>
      <x:c r="F175" s="50" t="str">
        <x:f>IFERROR(VLOOKUP(D175,Inventory!$B:$D,3,FALSE),"")</x:f>
      </x:c>
      <x:c r="G175" s="65" t="n">
        <x:v>0</x:v>
      </x:c>
      <x:c r="H175" s="66" t="n">
        <x:v>0</x:v>
      </x:c>
      <x:c r="I175" s="66" t="n">
        <x:f>G175*H175</x:f>
        <x:v>0</x:v>
      </x:c>
      <x:c r="J175" s="66" t="str">
        <x:f>IFERROR(VLOOKUP(D175,Inventory!$B:$F,4,FALSE),0)</x:f>
      </x:c>
      <x:c r="K175" s="66" t="n">
        <x:f>H175-J175</x:f>
        <x:v>0</x:v>
      </x:c>
      <x:c r="L175" s="66" t="n">
        <x:f>K175*G175</x:f>
        <x:v>0</x:v>
      </x:c>
      <x:c r="M175" s="50"/>
      <x:c r="N175" s="66"/>
      <x:c r="O175" s="50"/>
    </x:row>
    <x:row r="176">
      <x:c r="A176" s="50"/>
      <x:c r="B176" s="64"/>
      <x:c r="C176" s="50"/>
      <x:c r="D176" s="50"/>
      <x:c r="E176" s="50" t="str">
        <x:f>IFERROR(VLOOKUP(D176,Inventory!$B:$D,2,FALSE),"")</x:f>
      </x:c>
      <x:c r="F176" s="50" t="str">
        <x:f>IFERROR(VLOOKUP(D176,Inventory!$B:$D,3,FALSE),"")</x:f>
      </x:c>
      <x:c r="G176" s="65" t="n">
        <x:v>0</x:v>
      </x:c>
      <x:c r="H176" s="66" t="n">
        <x:v>0</x:v>
      </x:c>
      <x:c r="I176" s="66" t="n">
        <x:f>G176*H176</x:f>
        <x:v>0</x:v>
      </x:c>
      <x:c r="J176" s="66" t="str">
        <x:f>IFERROR(VLOOKUP(D176,Inventory!$B:$F,4,FALSE),0)</x:f>
      </x:c>
      <x:c r="K176" s="66" t="n">
        <x:f>H176-J176</x:f>
        <x:v>0</x:v>
      </x:c>
      <x:c r="L176" s="66" t="n">
        <x:f>K176*G176</x:f>
        <x:v>0</x:v>
      </x:c>
      <x:c r="M176" s="50"/>
      <x:c r="N176" s="66"/>
      <x:c r="O176" s="50"/>
    </x:row>
    <x:row r="177">
      <x:c r="A177" s="50"/>
      <x:c r="B177" s="64"/>
      <x:c r="C177" s="50"/>
      <x:c r="D177" s="50"/>
      <x:c r="E177" s="50" t="str">
        <x:f>IFERROR(VLOOKUP(D177,Inventory!$B:$D,2,FALSE),"")</x:f>
      </x:c>
      <x:c r="F177" s="50" t="str">
        <x:f>IFERROR(VLOOKUP(D177,Inventory!$B:$D,3,FALSE),"")</x:f>
      </x:c>
      <x:c r="G177" s="65" t="n">
        <x:v>0</x:v>
      </x:c>
      <x:c r="H177" s="66" t="n">
        <x:v>0</x:v>
      </x:c>
      <x:c r="I177" s="66" t="n">
        <x:f>G177*H177</x:f>
        <x:v>0</x:v>
      </x:c>
      <x:c r="J177" s="66" t="str">
        <x:f>IFERROR(VLOOKUP(D177,Inventory!$B:$F,4,FALSE),0)</x:f>
      </x:c>
      <x:c r="K177" s="66" t="n">
        <x:f>H177-J177</x:f>
        <x:v>0</x:v>
      </x:c>
      <x:c r="L177" s="66" t="n">
        <x:f>K177*G177</x:f>
        <x:v>0</x:v>
      </x:c>
      <x:c r="M177" s="50"/>
      <x:c r="N177" s="66"/>
      <x:c r="O177" s="50"/>
    </x:row>
    <x:row r="178">
      <x:c r="A178" s="50"/>
      <x:c r="B178" s="64"/>
      <x:c r="C178" s="50"/>
      <x:c r="D178" s="50"/>
      <x:c r="E178" s="50" t="str">
        <x:f>IFERROR(VLOOKUP(D178,Inventory!$B:$D,2,FALSE),"")</x:f>
      </x:c>
      <x:c r="F178" s="50" t="str">
        <x:f>IFERROR(VLOOKUP(D178,Inventory!$B:$D,3,FALSE),"")</x:f>
      </x:c>
      <x:c r="G178" s="65" t="n">
        <x:v>0</x:v>
      </x:c>
      <x:c r="H178" s="66" t="n">
        <x:v>0</x:v>
      </x:c>
      <x:c r="I178" s="66" t="n">
        <x:f>G178*H178</x:f>
        <x:v>0</x:v>
      </x:c>
      <x:c r="J178" s="66" t="str">
        <x:f>IFERROR(VLOOKUP(D178,Inventory!$B:$F,4,FALSE),0)</x:f>
      </x:c>
      <x:c r="K178" s="66" t="n">
        <x:f>H178-J178</x:f>
        <x:v>0</x:v>
      </x:c>
      <x:c r="L178" s="66" t="n">
        <x:f>K178*G178</x:f>
        <x:v>0</x:v>
      </x:c>
      <x:c r="M178" s="50"/>
      <x:c r="N178" s="66"/>
      <x:c r="O178" s="50"/>
    </x:row>
    <x:row r="179">
      <x:c r="A179" s="50"/>
      <x:c r="B179" s="64"/>
      <x:c r="C179" s="50"/>
      <x:c r="D179" s="50"/>
      <x:c r="E179" s="50" t="str">
        <x:f>IFERROR(VLOOKUP(D179,Inventory!$B:$D,2,FALSE),"")</x:f>
      </x:c>
      <x:c r="F179" s="50" t="str">
        <x:f>IFERROR(VLOOKUP(D179,Inventory!$B:$D,3,FALSE),"")</x:f>
      </x:c>
      <x:c r="G179" s="65" t="n">
        <x:v>0</x:v>
      </x:c>
      <x:c r="H179" s="66" t="n">
        <x:v>0</x:v>
      </x:c>
      <x:c r="I179" s="66" t="n">
        <x:f>G179*H179</x:f>
        <x:v>0</x:v>
      </x:c>
      <x:c r="J179" s="66" t="str">
        <x:f>IFERROR(VLOOKUP(D179,Inventory!$B:$F,4,FALSE),0)</x:f>
      </x:c>
      <x:c r="K179" s="66" t="n">
        <x:f>H179-J179</x:f>
        <x:v>0</x:v>
      </x:c>
      <x:c r="L179" s="66" t="n">
        <x:f>K179*G179</x:f>
        <x:v>0</x:v>
      </x:c>
      <x:c r="M179" s="50"/>
      <x:c r="N179" s="66"/>
      <x:c r="O179" s="50"/>
    </x:row>
    <x:row r="180">
      <x:c r="A180" s="50"/>
      <x:c r="B180" s="64"/>
      <x:c r="C180" s="50"/>
      <x:c r="D180" s="50"/>
      <x:c r="E180" s="50" t="str">
        <x:f>IFERROR(VLOOKUP(D180,Inventory!$B:$D,2,FALSE),"")</x:f>
      </x:c>
      <x:c r="F180" s="50" t="str">
        <x:f>IFERROR(VLOOKUP(D180,Inventory!$B:$D,3,FALSE),"")</x:f>
      </x:c>
      <x:c r="G180" s="65" t="n">
        <x:v>0</x:v>
      </x:c>
      <x:c r="H180" s="66" t="n">
        <x:v>0</x:v>
      </x:c>
      <x:c r="I180" s="66" t="n">
        <x:f>G180*H180</x:f>
        <x:v>0</x:v>
      </x:c>
      <x:c r="J180" s="66" t="str">
        <x:f>IFERROR(VLOOKUP(D180,Inventory!$B:$F,4,FALSE),0)</x:f>
      </x:c>
      <x:c r="K180" s="66" t="n">
        <x:f>H180-J180</x:f>
        <x:v>0</x:v>
      </x:c>
      <x:c r="L180" s="66" t="n">
        <x:f>K180*G180</x:f>
        <x:v>0</x:v>
      </x:c>
      <x:c r="M180" s="50"/>
      <x:c r="N180" s="66"/>
      <x:c r="O180" s="50"/>
    </x:row>
    <x:row r="181">
      <x:c r="A181" s="50"/>
      <x:c r="B181" s="64"/>
      <x:c r="C181" s="50"/>
      <x:c r="D181" s="50"/>
      <x:c r="E181" s="50" t="str">
        <x:f>IFERROR(VLOOKUP(D181,Inventory!$B:$D,2,FALSE),"")</x:f>
      </x:c>
      <x:c r="F181" s="50" t="str">
        <x:f>IFERROR(VLOOKUP(D181,Inventory!$B:$D,3,FALSE),"")</x:f>
      </x:c>
      <x:c r="G181" s="65" t="n">
        <x:v>0</x:v>
      </x:c>
      <x:c r="H181" s="66" t="n">
        <x:v>0</x:v>
      </x:c>
      <x:c r="I181" s="66" t="n">
        <x:f>G181*H181</x:f>
        <x:v>0</x:v>
      </x:c>
      <x:c r="J181" s="66" t="str">
        <x:f>IFERROR(VLOOKUP(D181,Inventory!$B:$F,4,FALSE),0)</x:f>
      </x:c>
      <x:c r="K181" s="66" t="n">
        <x:f>H181-J181</x:f>
        <x:v>0</x:v>
      </x:c>
      <x:c r="L181" s="66" t="n">
        <x:f>K181*G181</x:f>
        <x:v>0</x:v>
      </x:c>
      <x:c r="M181" s="50"/>
      <x:c r="N181" s="66"/>
      <x:c r="O181" s="50"/>
    </x:row>
    <x:row r="182">
      <x:c r="A182" s="50"/>
      <x:c r="B182" s="64"/>
      <x:c r="C182" s="50"/>
      <x:c r="D182" s="50"/>
      <x:c r="E182" s="50" t="str">
        <x:f>IFERROR(VLOOKUP(D182,Inventory!$B:$D,2,FALSE),"")</x:f>
      </x:c>
      <x:c r="F182" s="50" t="str">
        <x:f>IFERROR(VLOOKUP(D182,Inventory!$B:$D,3,FALSE),"")</x:f>
      </x:c>
      <x:c r="G182" s="65" t="n">
        <x:v>0</x:v>
      </x:c>
      <x:c r="H182" s="66" t="n">
        <x:v>0</x:v>
      </x:c>
      <x:c r="I182" s="66" t="n">
        <x:f>G182*H182</x:f>
        <x:v>0</x:v>
      </x:c>
      <x:c r="J182" s="66" t="str">
        <x:f>IFERROR(VLOOKUP(D182,Inventory!$B:$F,4,FALSE),0)</x:f>
      </x:c>
      <x:c r="K182" s="66" t="n">
        <x:f>H182-J182</x:f>
        <x:v>0</x:v>
      </x:c>
      <x:c r="L182" s="66" t="n">
        <x:f>K182*G182</x:f>
        <x:v>0</x:v>
      </x:c>
      <x:c r="M182" s="50"/>
      <x:c r="N182" s="66"/>
      <x:c r="O182" s="50"/>
    </x:row>
    <x:row r="183">
      <x:c r="A183" s="50"/>
      <x:c r="B183" s="64"/>
      <x:c r="C183" s="50"/>
      <x:c r="D183" s="50"/>
      <x:c r="E183" s="50" t="str">
        <x:f>IFERROR(VLOOKUP(D183,Inventory!$B:$D,2,FALSE),"")</x:f>
      </x:c>
      <x:c r="F183" s="50" t="str">
        <x:f>IFERROR(VLOOKUP(D183,Inventory!$B:$D,3,FALSE),"")</x:f>
      </x:c>
      <x:c r="G183" s="65" t="n">
        <x:v>0</x:v>
      </x:c>
      <x:c r="H183" s="66" t="n">
        <x:v>0</x:v>
      </x:c>
      <x:c r="I183" s="66" t="n">
        <x:f>G183*H183</x:f>
        <x:v>0</x:v>
      </x:c>
      <x:c r="J183" s="66" t="str">
        <x:f>IFERROR(VLOOKUP(D183,Inventory!$B:$F,4,FALSE),0)</x:f>
      </x:c>
      <x:c r="K183" s="66" t="n">
        <x:f>H183-J183</x:f>
        <x:v>0</x:v>
      </x:c>
      <x:c r="L183" s="66" t="n">
        <x:f>K183*G183</x:f>
        <x:v>0</x:v>
      </x:c>
      <x:c r="M183" s="50"/>
      <x:c r="N183" s="66"/>
      <x:c r="O183" s="50"/>
    </x:row>
    <x:row r="184">
      <x:c r="A184" s="50"/>
      <x:c r="B184" s="64"/>
      <x:c r="C184" s="50"/>
      <x:c r="D184" s="50"/>
      <x:c r="E184" s="50" t="str">
        <x:f>IFERROR(VLOOKUP(D184,Inventory!$B:$D,2,FALSE),"")</x:f>
      </x:c>
      <x:c r="F184" s="50" t="str">
        <x:f>IFERROR(VLOOKUP(D184,Inventory!$B:$D,3,FALSE),"")</x:f>
      </x:c>
      <x:c r="G184" s="65" t="n">
        <x:v>0</x:v>
      </x:c>
      <x:c r="H184" s="66" t="n">
        <x:v>0</x:v>
      </x:c>
      <x:c r="I184" s="66" t="n">
        <x:f>G184*H184</x:f>
        <x:v>0</x:v>
      </x:c>
      <x:c r="J184" s="66" t="str">
        <x:f>IFERROR(VLOOKUP(D184,Inventory!$B:$F,4,FALSE),0)</x:f>
      </x:c>
      <x:c r="K184" s="66" t="n">
        <x:f>H184-J184</x:f>
        <x:v>0</x:v>
      </x:c>
      <x:c r="L184" s="66" t="n">
        <x:f>K184*G184</x:f>
        <x:v>0</x:v>
      </x:c>
      <x:c r="M184" s="50"/>
      <x:c r="N184" s="66"/>
      <x:c r="O184" s="50"/>
    </x:row>
    <x:row r="185">
      <x:c r="A185" s="50"/>
      <x:c r="B185" s="64"/>
      <x:c r="C185" s="50"/>
      <x:c r="D185" s="50"/>
      <x:c r="E185" s="50" t="str">
        <x:f>IFERROR(VLOOKUP(D185,Inventory!$B:$D,2,FALSE),"")</x:f>
      </x:c>
      <x:c r="F185" s="50" t="str">
        <x:f>IFERROR(VLOOKUP(D185,Inventory!$B:$D,3,FALSE),"")</x:f>
      </x:c>
      <x:c r="G185" s="65" t="n">
        <x:v>0</x:v>
      </x:c>
      <x:c r="H185" s="66" t="n">
        <x:v>0</x:v>
      </x:c>
      <x:c r="I185" s="66" t="n">
        <x:f>G185*H185</x:f>
        <x:v>0</x:v>
      </x:c>
      <x:c r="J185" s="66" t="str">
        <x:f>IFERROR(VLOOKUP(D185,Inventory!$B:$F,4,FALSE),0)</x:f>
      </x:c>
      <x:c r="K185" s="66" t="n">
        <x:f>H185-J185</x:f>
        <x:v>0</x:v>
      </x:c>
      <x:c r="L185" s="66" t="n">
        <x:f>K185*G185</x:f>
        <x:v>0</x:v>
      </x:c>
      <x:c r="M185" s="50"/>
      <x:c r="N185" s="66"/>
      <x:c r="O185" s="50"/>
    </x:row>
    <x:row r="186">
      <x:c r="A186" s="50"/>
      <x:c r="B186" s="64"/>
      <x:c r="C186" s="50"/>
      <x:c r="D186" s="50"/>
      <x:c r="E186" s="50" t="str">
        <x:f>IFERROR(VLOOKUP(D186,Inventory!$B:$D,2,FALSE),"")</x:f>
      </x:c>
      <x:c r="F186" s="50" t="str">
        <x:f>IFERROR(VLOOKUP(D186,Inventory!$B:$D,3,FALSE),"")</x:f>
      </x:c>
      <x:c r="G186" s="65" t="n">
        <x:v>0</x:v>
      </x:c>
      <x:c r="H186" s="66" t="n">
        <x:v>0</x:v>
      </x:c>
      <x:c r="I186" s="66" t="n">
        <x:f>G186*H186</x:f>
        <x:v>0</x:v>
      </x:c>
      <x:c r="J186" s="66" t="str">
        <x:f>IFERROR(VLOOKUP(D186,Inventory!$B:$F,4,FALSE),0)</x:f>
      </x:c>
      <x:c r="K186" s="66" t="n">
        <x:f>H186-J186</x:f>
        <x:v>0</x:v>
      </x:c>
      <x:c r="L186" s="66" t="n">
        <x:f>K186*G186</x:f>
        <x:v>0</x:v>
      </x:c>
      <x:c r="M186" s="50"/>
      <x:c r="N186" s="66"/>
      <x:c r="O186" s="50"/>
    </x:row>
    <x:row r="187">
      <x:c r="A187" s="50"/>
      <x:c r="B187" s="64"/>
      <x:c r="C187" s="50"/>
      <x:c r="D187" s="50"/>
      <x:c r="E187" s="50" t="str">
        <x:f>IFERROR(VLOOKUP(D187,Inventory!$B:$D,2,FALSE),"")</x:f>
      </x:c>
      <x:c r="F187" s="50" t="str">
        <x:f>IFERROR(VLOOKUP(D187,Inventory!$B:$D,3,FALSE),"")</x:f>
      </x:c>
      <x:c r="G187" s="65" t="n">
        <x:v>0</x:v>
      </x:c>
      <x:c r="H187" s="66" t="n">
        <x:v>0</x:v>
      </x:c>
      <x:c r="I187" s="66" t="n">
        <x:f>G187*H187</x:f>
        <x:v>0</x:v>
      </x:c>
      <x:c r="J187" s="66" t="str">
        <x:f>IFERROR(VLOOKUP(D187,Inventory!$B:$F,4,FALSE),0)</x:f>
      </x:c>
      <x:c r="K187" s="66" t="n">
        <x:f>H187-J187</x:f>
        <x:v>0</x:v>
      </x:c>
      <x:c r="L187" s="66" t="n">
        <x:f>K187*G187</x:f>
        <x:v>0</x:v>
      </x:c>
      <x:c r="M187" s="50"/>
      <x:c r="N187" s="66"/>
      <x:c r="O187" s="50"/>
    </x:row>
    <x:row r="188">
      <x:c r="A188" s="50"/>
      <x:c r="B188" s="64"/>
      <x:c r="C188" s="50"/>
      <x:c r="D188" s="50"/>
      <x:c r="E188" s="50" t="str">
        <x:f>IFERROR(VLOOKUP(D188,Inventory!$B:$D,2,FALSE),"")</x:f>
      </x:c>
      <x:c r="F188" s="50" t="str">
        <x:f>IFERROR(VLOOKUP(D188,Inventory!$B:$D,3,FALSE),"")</x:f>
      </x:c>
      <x:c r="G188" s="65" t="n">
        <x:v>0</x:v>
      </x:c>
      <x:c r="H188" s="66" t="n">
        <x:v>0</x:v>
      </x:c>
      <x:c r="I188" s="66" t="n">
        <x:f>G188*H188</x:f>
        <x:v>0</x:v>
      </x:c>
      <x:c r="J188" s="66" t="str">
        <x:f>IFERROR(VLOOKUP(D188,Inventory!$B:$F,4,FALSE),0)</x:f>
      </x:c>
      <x:c r="K188" s="66" t="n">
        <x:f>H188-J188</x:f>
        <x:v>0</x:v>
      </x:c>
      <x:c r="L188" s="66" t="n">
        <x:f>K188*G188</x:f>
        <x:v>0</x:v>
      </x:c>
      <x:c r="M188" s="50"/>
      <x:c r="N188" s="66"/>
      <x:c r="O188" s="50"/>
    </x:row>
    <x:row r="189">
      <x:c r="A189" s="50"/>
      <x:c r="B189" s="64"/>
      <x:c r="C189" s="50"/>
      <x:c r="D189" s="50"/>
      <x:c r="E189" s="50" t="str">
        <x:f>IFERROR(VLOOKUP(D189,Inventory!$B:$D,2,FALSE),"")</x:f>
      </x:c>
      <x:c r="F189" s="50" t="str">
        <x:f>IFERROR(VLOOKUP(D189,Inventory!$B:$D,3,FALSE),"")</x:f>
      </x:c>
      <x:c r="G189" s="65" t="n">
        <x:v>0</x:v>
      </x:c>
      <x:c r="H189" s="66" t="n">
        <x:v>0</x:v>
      </x:c>
      <x:c r="I189" s="66" t="n">
        <x:f>G189*H189</x:f>
        <x:v>0</x:v>
      </x:c>
      <x:c r="J189" s="66" t="str">
        <x:f>IFERROR(VLOOKUP(D189,Inventory!$B:$F,4,FALSE),0)</x:f>
      </x:c>
      <x:c r="K189" s="66" t="n">
        <x:f>H189-J189</x:f>
        <x:v>0</x:v>
      </x:c>
      <x:c r="L189" s="66" t="n">
        <x:f>K189*G189</x:f>
        <x:v>0</x:v>
      </x:c>
      <x:c r="M189" s="50"/>
      <x:c r="N189" s="66"/>
      <x:c r="O189" s="50"/>
    </x:row>
    <x:row r="190">
      <x:c r="A190" s="50"/>
      <x:c r="B190" s="64"/>
      <x:c r="C190" s="50"/>
      <x:c r="D190" s="50"/>
      <x:c r="E190" s="50" t="str">
        <x:f>IFERROR(VLOOKUP(D190,Inventory!$B:$D,2,FALSE),"")</x:f>
      </x:c>
      <x:c r="F190" s="50" t="str">
        <x:f>IFERROR(VLOOKUP(D190,Inventory!$B:$D,3,FALSE),"")</x:f>
      </x:c>
      <x:c r="G190" s="65" t="n">
        <x:v>0</x:v>
      </x:c>
      <x:c r="H190" s="66" t="n">
        <x:v>0</x:v>
      </x:c>
      <x:c r="I190" s="66" t="n">
        <x:f>G190*H190</x:f>
        <x:v>0</x:v>
      </x:c>
      <x:c r="J190" s="66" t="str">
        <x:f>IFERROR(VLOOKUP(D190,Inventory!$B:$F,4,FALSE),0)</x:f>
      </x:c>
      <x:c r="K190" s="66" t="n">
        <x:f>H190-J190</x:f>
        <x:v>0</x:v>
      </x:c>
      <x:c r="L190" s="66" t="n">
        <x:f>K190*G190</x:f>
        <x:v>0</x:v>
      </x:c>
      <x:c r="M190" s="50"/>
      <x:c r="N190" s="66"/>
      <x:c r="O190" s="50"/>
    </x:row>
    <x:row r="191">
      <x:c r="A191" s="50"/>
      <x:c r="B191" s="64"/>
      <x:c r="C191" s="50"/>
      <x:c r="D191" s="50"/>
      <x:c r="E191" s="50" t="str">
        <x:f>IFERROR(VLOOKUP(D191,Inventory!$B:$D,2,FALSE),"")</x:f>
      </x:c>
      <x:c r="F191" s="50" t="str">
        <x:f>IFERROR(VLOOKUP(D191,Inventory!$B:$D,3,FALSE),"")</x:f>
      </x:c>
      <x:c r="G191" s="65" t="n">
        <x:v>0</x:v>
      </x:c>
      <x:c r="H191" s="66" t="n">
        <x:v>0</x:v>
      </x:c>
      <x:c r="I191" s="66" t="n">
        <x:f>G191*H191</x:f>
        <x:v>0</x:v>
      </x:c>
      <x:c r="J191" s="66" t="str">
        <x:f>IFERROR(VLOOKUP(D191,Inventory!$B:$F,4,FALSE),0)</x:f>
      </x:c>
      <x:c r="K191" s="66" t="n">
        <x:f>H191-J191</x:f>
        <x:v>0</x:v>
      </x:c>
      <x:c r="L191" s="66" t="n">
        <x:f>K191*G191</x:f>
        <x:v>0</x:v>
      </x:c>
      <x:c r="M191" s="50"/>
      <x:c r="N191" s="66"/>
      <x:c r="O191" s="50"/>
    </x:row>
    <x:row r="192">
      <x:c r="A192" s="50"/>
      <x:c r="B192" s="64"/>
      <x:c r="C192" s="50"/>
      <x:c r="D192" s="50"/>
      <x:c r="E192" s="50" t="str">
        <x:f>IFERROR(VLOOKUP(D192,Inventory!$B:$D,2,FALSE),"")</x:f>
      </x:c>
      <x:c r="F192" s="50" t="str">
        <x:f>IFERROR(VLOOKUP(D192,Inventory!$B:$D,3,FALSE),"")</x:f>
      </x:c>
      <x:c r="G192" s="65" t="n">
        <x:v>0</x:v>
      </x:c>
      <x:c r="H192" s="66" t="n">
        <x:v>0</x:v>
      </x:c>
      <x:c r="I192" s="66" t="n">
        <x:f>G192*H192</x:f>
        <x:v>0</x:v>
      </x:c>
      <x:c r="J192" s="66" t="str">
        <x:f>IFERROR(VLOOKUP(D192,Inventory!$B:$F,4,FALSE),0)</x:f>
      </x:c>
      <x:c r="K192" s="66" t="n">
        <x:f>H192-J192</x:f>
        <x:v>0</x:v>
      </x:c>
      <x:c r="L192" s="66" t="n">
        <x:f>K192*G192</x:f>
        <x:v>0</x:v>
      </x:c>
      <x:c r="M192" s="50"/>
      <x:c r="N192" s="66"/>
      <x:c r="O192" s="50"/>
    </x:row>
    <x:row r="193">
      <x:c r="A193" s="50"/>
      <x:c r="B193" s="64"/>
      <x:c r="C193" s="50"/>
      <x:c r="D193" s="50"/>
      <x:c r="E193" s="50" t="str">
        <x:f>IFERROR(VLOOKUP(D193,Inventory!$B:$D,2,FALSE),"")</x:f>
      </x:c>
      <x:c r="F193" s="50" t="str">
        <x:f>IFERROR(VLOOKUP(D193,Inventory!$B:$D,3,FALSE),"")</x:f>
      </x:c>
      <x:c r="G193" s="65" t="n">
        <x:v>0</x:v>
      </x:c>
      <x:c r="H193" s="66" t="n">
        <x:v>0</x:v>
      </x:c>
      <x:c r="I193" s="66" t="n">
        <x:f>G193*H193</x:f>
        <x:v>0</x:v>
      </x:c>
      <x:c r="J193" s="66" t="str">
        <x:f>IFERROR(VLOOKUP(D193,Inventory!$B:$F,4,FALSE),0)</x:f>
      </x:c>
      <x:c r="K193" s="66" t="n">
        <x:f>H193-J193</x:f>
        <x:v>0</x:v>
      </x:c>
      <x:c r="L193" s="66" t="n">
        <x:f>K193*G193</x:f>
        <x:v>0</x:v>
      </x:c>
      <x:c r="M193" s="50"/>
      <x:c r="N193" s="66"/>
      <x:c r="O193" s="50"/>
    </x:row>
    <x:row r="194">
      <x:c r="A194" s="50"/>
      <x:c r="B194" s="64"/>
      <x:c r="C194" s="50"/>
      <x:c r="D194" s="50"/>
      <x:c r="E194" s="50" t="str">
        <x:f>IFERROR(VLOOKUP(D194,Inventory!$B:$D,2,FALSE),"")</x:f>
      </x:c>
      <x:c r="F194" s="50" t="str">
        <x:f>IFERROR(VLOOKUP(D194,Inventory!$B:$D,3,FALSE),"")</x:f>
      </x:c>
      <x:c r="G194" s="65" t="n">
        <x:v>0</x:v>
      </x:c>
      <x:c r="H194" s="66" t="n">
        <x:v>0</x:v>
      </x:c>
      <x:c r="I194" s="66" t="n">
        <x:f>G194*H194</x:f>
        <x:v>0</x:v>
      </x:c>
      <x:c r="J194" s="66" t="str">
        <x:f>IFERROR(VLOOKUP(D194,Inventory!$B:$F,4,FALSE),0)</x:f>
      </x:c>
      <x:c r="K194" s="66" t="n">
        <x:f>H194-J194</x:f>
        <x:v>0</x:v>
      </x:c>
      <x:c r="L194" s="66" t="n">
        <x:f>K194*G194</x:f>
        <x:v>0</x:v>
      </x:c>
      <x:c r="M194" s="50"/>
      <x:c r="N194" s="66"/>
      <x:c r="O194" s="50"/>
    </x:row>
    <x:row r="195">
      <x:c r="A195" s="50"/>
      <x:c r="B195" s="64"/>
      <x:c r="C195" s="50"/>
      <x:c r="D195" s="50"/>
      <x:c r="E195" s="50" t="str">
        <x:f>IFERROR(VLOOKUP(D195,Inventory!$B:$D,2,FALSE),"")</x:f>
      </x:c>
      <x:c r="F195" s="50" t="str">
        <x:f>IFERROR(VLOOKUP(D195,Inventory!$B:$D,3,FALSE),"")</x:f>
      </x:c>
      <x:c r="G195" s="65" t="n">
        <x:v>0</x:v>
      </x:c>
      <x:c r="H195" s="66" t="n">
        <x:v>0</x:v>
      </x:c>
      <x:c r="I195" s="66" t="n">
        <x:f>G195*H195</x:f>
        <x:v>0</x:v>
      </x:c>
      <x:c r="J195" s="66" t="str">
        <x:f>IFERROR(VLOOKUP(D195,Inventory!$B:$F,4,FALSE),0)</x:f>
      </x:c>
      <x:c r="K195" s="66" t="n">
        <x:f>H195-J195</x:f>
        <x:v>0</x:v>
      </x:c>
      <x:c r="L195" s="66" t="n">
        <x:f>K195*G195</x:f>
        <x:v>0</x:v>
      </x:c>
      <x:c r="M195" s="50"/>
      <x:c r="N195" s="66"/>
      <x:c r="O195" s="50"/>
    </x:row>
    <x:row r="196">
      <x:c r="A196" s="50"/>
      <x:c r="B196" s="64"/>
      <x:c r="C196" s="50"/>
      <x:c r="D196" s="50"/>
      <x:c r="E196" s="50" t="str">
        <x:f>IFERROR(VLOOKUP(D196,Inventory!$B:$D,2,FALSE),"")</x:f>
      </x:c>
      <x:c r="F196" s="50" t="str">
        <x:f>IFERROR(VLOOKUP(D196,Inventory!$B:$D,3,FALSE),"")</x:f>
      </x:c>
      <x:c r="G196" s="65" t="n">
        <x:v>0</x:v>
      </x:c>
      <x:c r="H196" s="66" t="n">
        <x:v>0</x:v>
      </x:c>
      <x:c r="I196" s="66" t="n">
        <x:f>G196*H196</x:f>
        <x:v>0</x:v>
      </x:c>
      <x:c r="J196" s="66" t="str">
        <x:f>IFERROR(VLOOKUP(D196,Inventory!$B:$F,4,FALSE),0)</x:f>
      </x:c>
      <x:c r="K196" s="66" t="n">
        <x:f>H196-J196</x:f>
        <x:v>0</x:v>
      </x:c>
      <x:c r="L196" s="66" t="n">
        <x:f>K196*G196</x:f>
        <x:v>0</x:v>
      </x:c>
      <x:c r="M196" s="50"/>
      <x:c r="N196" s="66"/>
      <x:c r="O196" s="50"/>
    </x:row>
    <x:row r="197">
      <x:c r="A197" s="50"/>
      <x:c r="B197" s="64"/>
      <x:c r="C197" s="50"/>
      <x:c r="D197" s="50"/>
      <x:c r="E197" s="50" t="str">
        <x:f>IFERROR(VLOOKUP(D197,Inventory!$B:$D,2,FALSE),"")</x:f>
      </x:c>
      <x:c r="F197" s="50" t="str">
        <x:f>IFERROR(VLOOKUP(D197,Inventory!$B:$D,3,FALSE),"")</x:f>
      </x:c>
      <x:c r="G197" s="65" t="n">
        <x:v>0</x:v>
      </x:c>
      <x:c r="H197" s="66" t="n">
        <x:v>0</x:v>
      </x:c>
      <x:c r="I197" s="66" t="n">
        <x:f>G197*H197</x:f>
        <x:v>0</x:v>
      </x:c>
      <x:c r="J197" s="66" t="str">
        <x:f>IFERROR(VLOOKUP(D197,Inventory!$B:$F,4,FALSE),0)</x:f>
      </x:c>
      <x:c r="K197" s="66" t="n">
        <x:f>H197-J197</x:f>
        <x:v>0</x:v>
      </x:c>
      <x:c r="L197" s="66" t="n">
        <x:f>K197*G197</x:f>
        <x:v>0</x:v>
      </x:c>
      <x:c r="M197" s="50"/>
      <x:c r="N197" s="66"/>
      <x:c r="O197" s="50"/>
    </x:row>
    <x:row r="198">
      <x:c r="A198" s="50"/>
      <x:c r="B198" s="64"/>
      <x:c r="C198" s="50"/>
      <x:c r="D198" s="50"/>
      <x:c r="E198" s="50" t="str">
        <x:f>IFERROR(VLOOKUP(D198,Inventory!$B:$D,2,FALSE),"")</x:f>
      </x:c>
      <x:c r="F198" s="50" t="str">
        <x:f>IFERROR(VLOOKUP(D198,Inventory!$B:$D,3,FALSE),"")</x:f>
      </x:c>
      <x:c r="G198" s="65" t="n">
        <x:v>0</x:v>
      </x:c>
      <x:c r="H198" s="66" t="n">
        <x:v>0</x:v>
      </x:c>
      <x:c r="I198" s="66" t="n">
        <x:f>G198*H198</x:f>
        <x:v>0</x:v>
      </x:c>
      <x:c r="J198" s="66" t="str">
        <x:f>IFERROR(VLOOKUP(D198,Inventory!$B:$F,4,FALSE),0)</x:f>
      </x:c>
      <x:c r="K198" s="66" t="n">
        <x:f>H198-J198</x:f>
        <x:v>0</x:v>
      </x:c>
      <x:c r="L198" s="66" t="n">
        <x:f>K198*G198</x:f>
        <x:v>0</x:v>
      </x:c>
      <x:c r="M198" s="50"/>
      <x:c r="N198" s="66"/>
      <x:c r="O198" s="50"/>
    </x:row>
    <x:row r="199">
      <x:c r="A199" s="50"/>
      <x:c r="B199" s="64"/>
      <x:c r="C199" s="50"/>
      <x:c r="D199" s="50"/>
      <x:c r="E199" s="50" t="str">
        <x:f>IFERROR(VLOOKUP(D199,Inventory!$B:$D,2,FALSE),"")</x:f>
      </x:c>
      <x:c r="F199" s="50" t="str">
        <x:f>IFERROR(VLOOKUP(D199,Inventory!$B:$D,3,FALSE),"")</x:f>
      </x:c>
      <x:c r="G199" s="65" t="n">
        <x:v>0</x:v>
      </x:c>
      <x:c r="H199" s="66" t="n">
        <x:v>0</x:v>
      </x:c>
      <x:c r="I199" s="66" t="n">
        <x:f>G199*H199</x:f>
        <x:v>0</x:v>
      </x:c>
      <x:c r="J199" s="66" t="str">
        <x:f>IFERROR(VLOOKUP(D199,Inventory!$B:$F,4,FALSE),0)</x:f>
      </x:c>
      <x:c r="K199" s="66" t="n">
        <x:f>H199-J199</x:f>
        <x:v>0</x:v>
      </x:c>
      <x:c r="L199" s="66" t="n">
        <x:f>K199*G199</x:f>
        <x:v>0</x:v>
      </x:c>
      <x:c r="M199" s="50"/>
      <x:c r="N199" s="66"/>
      <x:c r="O199" s="50"/>
    </x:row>
    <x:row r="200">
      <x:c r="A200" s="50"/>
      <x:c r="B200" s="64"/>
      <x:c r="C200" s="50"/>
      <x:c r="D200" s="50"/>
      <x:c r="E200" s="50" t="str">
        <x:f>IFERROR(VLOOKUP(D200,Inventory!$B:$D,2,FALSE),"")</x:f>
      </x:c>
      <x:c r="F200" s="50" t="str">
        <x:f>IFERROR(VLOOKUP(D200,Inventory!$B:$D,3,FALSE),"")</x:f>
      </x:c>
      <x:c r="G200" s="65" t="n">
        <x:v>0</x:v>
      </x:c>
      <x:c r="H200" s="66" t="n">
        <x:v>0</x:v>
      </x:c>
      <x:c r="I200" s="66" t="n">
        <x:f>G200*H200</x:f>
        <x:v>0</x:v>
      </x:c>
      <x:c r="J200" s="66" t="str">
        <x:f>IFERROR(VLOOKUP(D200,Inventory!$B:$F,4,FALSE),0)</x:f>
      </x:c>
      <x:c r="K200" s="66" t="n">
        <x:f>H200-J200</x:f>
        <x:v>0</x:v>
      </x:c>
      <x:c r="L200" s="66" t="n">
        <x:f>K200*G200</x:f>
        <x:v>0</x:v>
      </x:c>
      <x:c r="M200" s="50"/>
      <x:c r="N200" s="66"/>
      <x:c r="O200" s="50"/>
    </x:row>
    <x:row r="201">
      <x:c r="A201" s="50"/>
      <x:c r="B201" s="64"/>
      <x:c r="C201" s="50"/>
      <x:c r="D201" s="50"/>
      <x:c r="E201" s="50" t="str">
        <x:f>IFERROR(VLOOKUP(D201,Inventory!$B:$D,2,FALSE),"")</x:f>
      </x:c>
      <x:c r="F201" s="50" t="str">
        <x:f>IFERROR(VLOOKUP(D201,Inventory!$B:$D,3,FALSE),"")</x:f>
      </x:c>
      <x:c r="G201" s="65" t="n">
        <x:v>0</x:v>
      </x:c>
      <x:c r="H201" s="66" t="n">
        <x:v>0</x:v>
      </x:c>
      <x:c r="I201" s="66" t="n">
        <x:f>G201*H201</x:f>
        <x:v>0</x:v>
      </x:c>
      <x:c r="J201" s="66" t="str">
        <x:f>IFERROR(VLOOKUP(D201,Inventory!$B:$F,4,FALSE),0)</x:f>
      </x:c>
      <x:c r="K201" s="66" t="n">
        <x:f>H201-J201</x:f>
        <x:v>0</x:v>
      </x:c>
      <x:c r="L201" s="66" t="n">
        <x:f>K201*G201</x:f>
        <x:v>0</x:v>
      </x:c>
      <x:c r="M201" s="50"/>
      <x:c r="N201" s="66"/>
      <x:c r="O201" s="50"/>
    </x:row>
    <x:row r="202">
      <x:c r="A202" s="50"/>
      <x:c r="B202" s="64"/>
      <x:c r="C202" s="50"/>
      <x:c r="D202" s="50"/>
      <x:c r="E202" s="50" t="str">
        <x:f>IFERROR(VLOOKUP(D202,Inventory!$B:$D,2,FALSE),"")</x:f>
      </x:c>
      <x:c r="F202" s="50" t="str">
        <x:f>IFERROR(VLOOKUP(D202,Inventory!$B:$D,3,FALSE),"")</x:f>
      </x:c>
      <x:c r="G202" s="65" t="n">
        <x:v>0</x:v>
      </x:c>
      <x:c r="H202" s="66" t="n">
        <x:v>0</x:v>
      </x:c>
      <x:c r="I202" s="66" t="n">
        <x:f>G202*H202</x:f>
        <x:v>0</x:v>
      </x:c>
      <x:c r="J202" s="66" t="str">
        <x:f>IFERROR(VLOOKUP(D202,Inventory!$B:$F,4,FALSE),0)</x:f>
      </x:c>
      <x:c r="K202" s="66" t="n">
        <x:f>H202-J202</x:f>
        <x:v>0</x:v>
      </x:c>
      <x:c r="L202" s="66" t="n">
        <x:f>K202*G202</x:f>
        <x:v>0</x:v>
      </x:c>
      <x:c r="M202" s="50"/>
      <x:c r="N202" s="66"/>
      <x:c r="O202" s="50"/>
    </x:row>
    <x:row r="203">
      <x:c r="A203" s="50"/>
      <x:c r="B203" s="64"/>
      <x:c r="C203" s="50"/>
      <x:c r="D203" s="50"/>
      <x:c r="E203" s="50" t="str">
        <x:f>IFERROR(VLOOKUP(D203,Inventory!$B:$D,2,FALSE),"")</x:f>
      </x:c>
      <x:c r="F203" s="50" t="str">
        <x:f>IFERROR(VLOOKUP(D203,Inventory!$B:$D,3,FALSE),"")</x:f>
      </x:c>
      <x:c r="G203" s="65" t="n">
        <x:v>0</x:v>
      </x:c>
      <x:c r="H203" s="66" t="n">
        <x:v>0</x:v>
      </x:c>
      <x:c r="I203" s="66" t="n">
        <x:f>G203*H203</x:f>
        <x:v>0</x:v>
      </x:c>
      <x:c r="J203" s="66" t="str">
        <x:f>IFERROR(VLOOKUP(D203,Inventory!$B:$F,4,FALSE),0)</x:f>
      </x:c>
      <x:c r="K203" s="66" t="n">
        <x:f>H203-J203</x:f>
        <x:v>0</x:v>
      </x:c>
      <x:c r="L203" s="66" t="n">
        <x:f>K203*G203</x:f>
        <x:v>0</x:v>
      </x:c>
      <x:c r="M203" s="50"/>
      <x:c r="N203" s="66"/>
      <x:c r="O203" s="50"/>
    </x:row>
    <x:row r="204">
      <x:c r="A204" s="50"/>
      <x:c r="B204" s="64"/>
      <x:c r="C204" s="50"/>
      <x:c r="D204" s="50"/>
      <x:c r="E204" s="50" t="str">
        <x:f>IFERROR(VLOOKUP(D204,Inventory!$B:$D,2,FALSE),"")</x:f>
      </x:c>
      <x:c r="F204" s="50" t="str">
        <x:f>IFERROR(VLOOKUP(D204,Inventory!$B:$D,3,FALSE),"")</x:f>
      </x:c>
      <x:c r="G204" s="65" t="n">
        <x:v>0</x:v>
      </x:c>
      <x:c r="H204" s="66" t="n">
        <x:v>0</x:v>
      </x:c>
      <x:c r="I204" s="66" t="n">
        <x:f>G204*H204</x:f>
        <x:v>0</x:v>
      </x:c>
      <x:c r="J204" s="66" t="str">
        <x:f>IFERROR(VLOOKUP(D204,Inventory!$B:$F,4,FALSE),0)</x:f>
      </x:c>
      <x:c r="K204" s="66" t="n">
        <x:f>H204-J204</x:f>
        <x:v>0</x:v>
      </x:c>
      <x:c r="L204" s="66" t="n">
        <x:f>K204*G204</x:f>
        <x:v>0</x:v>
      </x:c>
      <x:c r="M204" s="50"/>
      <x:c r="N204" s="66"/>
      <x:c r="O204" s="50"/>
    </x:row>
    <x:row r="205">
      <x:c r="A205" s="50"/>
      <x:c r="B205" s="64"/>
      <x:c r="C205" s="50"/>
      <x:c r="D205" s="50"/>
      <x:c r="E205" s="50" t="str">
        <x:f>IFERROR(VLOOKUP(D205,Inventory!$B:$D,2,FALSE),"")</x:f>
      </x:c>
      <x:c r="F205" s="50" t="str">
        <x:f>IFERROR(VLOOKUP(D205,Inventory!$B:$D,3,FALSE),"")</x:f>
      </x:c>
      <x:c r="G205" s="65" t="n">
        <x:v>0</x:v>
      </x:c>
      <x:c r="H205" s="66" t="n">
        <x:v>0</x:v>
      </x:c>
      <x:c r="I205" s="66" t="n">
        <x:f>G205*H205</x:f>
        <x:v>0</x:v>
      </x:c>
      <x:c r="J205" s="66" t="str">
        <x:f>IFERROR(VLOOKUP(D205,Inventory!$B:$F,4,FALSE),0)</x:f>
      </x:c>
      <x:c r="K205" s="66" t="n">
        <x:f>H205-J205</x:f>
        <x:v>0</x:v>
      </x:c>
      <x:c r="L205" s="66" t="n">
        <x:f>K205*G205</x:f>
        <x:v>0</x:v>
      </x:c>
      <x:c r="M205" s="50"/>
      <x:c r="N205" s="66"/>
      <x:c r="O205" s="50"/>
    </x:row>
    <x:row r="206">
      <x:c r="A206" s="50"/>
      <x:c r="B206" s="64"/>
      <x:c r="C206" s="50"/>
      <x:c r="D206" s="50"/>
      <x:c r="E206" s="50" t="str">
        <x:f>IFERROR(VLOOKUP(D206,Inventory!$B:$D,2,FALSE),"")</x:f>
      </x:c>
      <x:c r="F206" s="50" t="str">
        <x:f>IFERROR(VLOOKUP(D206,Inventory!$B:$D,3,FALSE),"")</x:f>
      </x:c>
      <x:c r="G206" s="65" t="n">
        <x:v>0</x:v>
      </x:c>
      <x:c r="H206" s="66" t="n">
        <x:v>0</x:v>
      </x:c>
      <x:c r="I206" s="66" t="n">
        <x:f>G206*H206</x:f>
        <x:v>0</x:v>
      </x:c>
      <x:c r="J206" s="66" t="str">
        <x:f>IFERROR(VLOOKUP(D206,Inventory!$B:$F,4,FALSE),0)</x:f>
      </x:c>
      <x:c r="K206" s="66" t="n">
        <x:f>H206-J206</x:f>
        <x:v>0</x:v>
      </x:c>
      <x:c r="L206" s="66" t="n">
        <x:f>K206*G206</x:f>
        <x:v>0</x:v>
      </x:c>
      <x:c r="M206" s="50"/>
      <x:c r="N206" s="66"/>
      <x:c r="O206" s="50"/>
    </x:row>
    <x:row r="207">
      <x:c r="A207" s="50"/>
      <x:c r="B207" s="64"/>
      <x:c r="C207" s="50"/>
      <x:c r="D207" s="50"/>
      <x:c r="E207" s="50" t="str">
        <x:f>IFERROR(VLOOKUP(D207,Inventory!$B:$D,2,FALSE),"")</x:f>
      </x:c>
      <x:c r="F207" s="50" t="str">
        <x:f>IFERROR(VLOOKUP(D207,Inventory!$B:$D,3,FALSE),"")</x:f>
      </x:c>
      <x:c r="G207" s="65" t="n">
        <x:v>0</x:v>
      </x:c>
      <x:c r="H207" s="66" t="n">
        <x:v>0</x:v>
      </x:c>
      <x:c r="I207" s="66" t="n">
        <x:f>G207*H207</x:f>
        <x:v>0</x:v>
      </x:c>
      <x:c r="J207" s="66" t="str">
        <x:f>IFERROR(VLOOKUP(D207,Inventory!$B:$F,4,FALSE),0)</x:f>
      </x:c>
      <x:c r="K207" s="66" t="n">
        <x:f>H207-J207</x:f>
        <x:v>0</x:v>
      </x:c>
      <x:c r="L207" s="66" t="n">
        <x:f>K207*G207</x:f>
        <x:v>0</x:v>
      </x:c>
      <x:c r="M207" s="50"/>
      <x:c r="N207" s="66"/>
      <x:c r="O207" s="50"/>
    </x:row>
    <x:row r="208">
      <x:c r="A208" s="50"/>
      <x:c r="B208" s="64"/>
      <x:c r="C208" s="50"/>
      <x:c r="D208" s="50"/>
      <x:c r="E208" s="50" t="str">
        <x:f>IFERROR(VLOOKUP(D208,Inventory!$B:$D,2,FALSE),"")</x:f>
      </x:c>
      <x:c r="F208" s="50" t="str">
        <x:f>IFERROR(VLOOKUP(D208,Inventory!$B:$D,3,FALSE),"")</x:f>
      </x:c>
      <x:c r="G208" s="65" t="n">
        <x:v>0</x:v>
      </x:c>
      <x:c r="H208" s="66" t="n">
        <x:v>0</x:v>
      </x:c>
      <x:c r="I208" s="66" t="n">
        <x:f>G208*H208</x:f>
        <x:v>0</x:v>
      </x:c>
      <x:c r="J208" s="66" t="str">
        <x:f>IFERROR(VLOOKUP(D208,Inventory!$B:$F,4,FALSE),0)</x:f>
      </x:c>
      <x:c r="K208" s="66" t="n">
        <x:f>H208-J208</x:f>
        <x:v>0</x:v>
      </x:c>
      <x:c r="L208" s="66" t="n">
        <x:f>K208*G208</x:f>
        <x:v>0</x:v>
      </x:c>
      <x:c r="M208" s="50"/>
      <x:c r="N208" s="66"/>
      <x:c r="O208" s="50"/>
    </x:row>
    <x:row r="209">
      <x:c r="A209" s="50"/>
      <x:c r="B209" s="64"/>
      <x:c r="C209" s="50"/>
      <x:c r="D209" s="50"/>
      <x:c r="E209" s="50" t="str">
        <x:f>IFERROR(VLOOKUP(D209,Inventory!$B:$D,2,FALSE),"")</x:f>
      </x:c>
      <x:c r="F209" s="50" t="str">
        <x:f>IFERROR(VLOOKUP(D209,Inventory!$B:$D,3,FALSE),"")</x:f>
      </x:c>
      <x:c r="G209" s="65" t="n">
        <x:v>0</x:v>
      </x:c>
      <x:c r="H209" s="66" t="n">
        <x:v>0</x:v>
      </x:c>
      <x:c r="I209" s="66" t="n">
        <x:f>G209*H209</x:f>
        <x:v>0</x:v>
      </x:c>
      <x:c r="J209" s="66" t="str">
        <x:f>IFERROR(VLOOKUP(D209,Inventory!$B:$F,4,FALSE),0)</x:f>
      </x:c>
      <x:c r="K209" s="66" t="n">
        <x:f>H209-J209</x:f>
        <x:v>0</x:v>
      </x:c>
      <x:c r="L209" s="66" t="n">
        <x:f>K209*G209</x:f>
        <x:v>0</x:v>
      </x:c>
      <x:c r="M209" s="50"/>
      <x:c r="N209" s="66"/>
      <x:c r="O209" s="50"/>
    </x:row>
    <x:row r="210">
      <x:c r="A210" s="50"/>
      <x:c r="B210" s="64"/>
      <x:c r="C210" s="50"/>
      <x:c r="D210" s="50"/>
      <x:c r="E210" s="50" t="str">
        <x:f>IFERROR(VLOOKUP(D210,Inventory!$B:$D,2,FALSE),"")</x:f>
      </x:c>
      <x:c r="F210" s="50" t="str">
        <x:f>IFERROR(VLOOKUP(D210,Inventory!$B:$D,3,FALSE),"")</x:f>
      </x:c>
      <x:c r="G210" s="65" t="n">
        <x:v>0</x:v>
      </x:c>
      <x:c r="H210" s="66" t="n">
        <x:v>0</x:v>
      </x:c>
      <x:c r="I210" s="66" t="n">
        <x:f>G210*H210</x:f>
        <x:v>0</x:v>
      </x:c>
      <x:c r="J210" s="66" t="str">
        <x:f>IFERROR(VLOOKUP(D210,Inventory!$B:$F,4,FALSE),0)</x:f>
      </x:c>
      <x:c r="K210" s="66" t="n">
        <x:f>H210-J210</x:f>
        <x:v>0</x:v>
      </x:c>
      <x:c r="L210" s="66" t="n">
        <x:f>K210*G210</x:f>
        <x:v>0</x:v>
      </x:c>
      <x:c r="M210" s="50"/>
      <x:c r="N210" s="66"/>
      <x:c r="O210" s="50"/>
    </x:row>
    <x:row r="211">
      <x:c r="A211" s="50"/>
      <x:c r="B211" s="64"/>
      <x:c r="C211" s="50"/>
      <x:c r="D211" s="50"/>
      <x:c r="E211" s="50" t="str">
        <x:f>IFERROR(VLOOKUP(D211,Inventory!$B:$D,2,FALSE),"")</x:f>
      </x:c>
      <x:c r="F211" s="50" t="str">
        <x:f>IFERROR(VLOOKUP(D211,Inventory!$B:$D,3,FALSE),"")</x:f>
      </x:c>
      <x:c r="G211" s="65" t="n">
        <x:v>0</x:v>
      </x:c>
      <x:c r="H211" s="66" t="n">
        <x:v>0</x:v>
      </x:c>
      <x:c r="I211" s="66" t="n">
        <x:f>G211*H211</x:f>
        <x:v>0</x:v>
      </x:c>
      <x:c r="J211" s="66" t="str">
        <x:f>IFERROR(VLOOKUP(D211,Inventory!$B:$F,4,FALSE),0)</x:f>
      </x:c>
      <x:c r="K211" s="66" t="n">
        <x:f>H211-J211</x:f>
        <x:v>0</x:v>
      </x:c>
      <x:c r="L211" s="66" t="n">
        <x:f>K211*G211</x:f>
        <x:v>0</x:v>
      </x:c>
      <x:c r="M211" s="50"/>
      <x:c r="N211" s="66"/>
      <x:c r="O211" s="50"/>
    </x:row>
    <x:row r="212">
      <x:c r="A212" s="50"/>
      <x:c r="B212" s="64"/>
      <x:c r="C212" s="50"/>
      <x:c r="D212" s="50"/>
      <x:c r="E212" s="50" t="str">
        <x:f>IFERROR(VLOOKUP(D212,Inventory!$B:$D,2,FALSE),"")</x:f>
      </x:c>
      <x:c r="F212" s="50" t="str">
        <x:f>IFERROR(VLOOKUP(D212,Inventory!$B:$D,3,FALSE),"")</x:f>
      </x:c>
      <x:c r="G212" s="65" t="n">
        <x:v>0</x:v>
      </x:c>
      <x:c r="H212" s="66" t="n">
        <x:v>0</x:v>
      </x:c>
      <x:c r="I212" s="66" t="n">
        <x:f>G212*H212</x:f>
        <x:v>0</x:v>
      </x:c>
      <x:c r="J212" s="66" t="str">
        <x:f>IFERROR(VLOOKUP(D212,Inventory!$B:$F,4,FALSE),0)</x:f>
      </x:c>
      <x:c r="K212" s="66" t="n">
        <x:f>H212-J212</x:f>
        <x:v>0</x:v>
      </x:c>
      <x:c r="L212" s="66" t="n">
        <x:f>K212*G212</x:f>
        <x:v>0</x:v>
      </x:c>
      <x:c r="M212" s="50"/>
      <x:c r="N212" s="66"/>
      <x:c r="O212" s="50"/>
    </x:row>
    <x:row r="213">
      <x:c r="A213" s="50"/>
      <x:c r="B213" s="64"/>
      <x:c r="C213" s="50"/>
      <x:c r="D213" s="50"/>
      <x:c r="E213" s="50" t="str">
        <x:f>IFERROR(VLOOKUP(D213,Inventory!$B:$D,2,FALSE),"")</x:f>
      </x:c>
      <x:c r="F213" s="50" t="str">
        <x:f>IFERROR(VLOOKUP(D213,Inventory!$B:$D,3,FALSE),"")</x:f>
      </x:c>
      <x:c r="G213" s="65" t="n">
        <x:v>0</x:v>
      </x:c>
      <x:c r="H213" s="66" t="n">
        <x:v>0</x:v>
      </x:c>
      <x:c r="I213" s="66" t="n">
        <x:f>G213*H213</x:f>
        <x:v>0</x:v>
      </x:c>
      <x:c r="J213" s="66" t="str">
        <x:f>IFERROR(VLOOKUP(D213,Inventory!$B:$F,4,FALSE),0)</x:f>
      </x:c>
      <x:c r="K213" s="66" t="n">
        <x:f>H213-J213</x:f>
        <x:v>0</x:v>
      </x:c>
      <x:c r="L213" s="66" t="n">
        <x:f>K213*G213</x:f>
        <x:v>0</x:v>
      </x:c>
      <x:c r="M213" s="50"/>
      <x:c r="N213" s="66"/>
      <x:c r="O213" s="50"/>
    </x:row>
    <x:row r="214">
      <x:c r="A214" s="50"/>
      <x:c r="B214" s="64"/>
      <x:c r="C214" s="50"/>
      <x:c r="D214" s="50"/>
      <x:c r="E214" s="50" t="str">
        <x:f>IFERROR(VLOOKUP(D214,Inventory!$B:$D,2,FALSE),"")</x:f>
      </x:c>
      <x:c r="F214" s="50" t="str">
        <x:f>IFERROR(VLOOKUP(D214,Inventory!$B:$D,3,FALSE),"")</x:f>
      </x:c>
      <x:c r="G214" s="65" t="n">
        <x:v>0</x:v>
      </x:c>
      <x:c r="H214" s="66" t="n">
        <x:v>0</x:v>
      </x:c>
      <x:c r="I214" s="66" t="n">
        <x:f>G214*H214</x:f>
        <x:v>0</x:v>
      </x:c>
      <x:c r="J214" s="66" t="str">
        <x:f>IFERROR(VLOOKUP(D214,Inventory!$B:$F,4,FALSE),0)</x:f>
      </x:c>
      <x:c r="K214" s="66" t="n">
        <x:f>H214-J214</x:f>
        <x:v>0</x:v>
      </x:c>
      <x:c r="L214" s="66" t="n">
        <x:f>K214*G214</x:f>
        <x:v>0</x:v>
      </x:c>
      <x:c r="M214" s="50"/>
      <x:c r="N214" s="66"/>
      <x:c r="O214" s="50"/>
    </x:row>
    <x:row r="215">
      <x:c r="A215" s="50"/>
      <x:c r="B215" s="64"/>
      <x:c r="C215" s="50"/>
      <x:c r="D215" s="50"/>
      <x:c r="E215" s="50" t="str">
        <x:f>IFERROR(VLOOKUP(D215,Inventory!$B:$D,2,FALSE),"")</x:f>
      </x:c>
      <x:c r="F215" s="50" t="str">
        <x:f>IFERROR(VLOOKUP(D215,Inventory!$B:$D,3,FALSE),"")</x:f>
      </x:c>
      <x:c r="G215" s="65" t="n">
        <x:v>0</x:v>
      </x:c>
      <x:c r="H215" s="66" t="n">
        <x:v>0</x:v>
      </x:c>
      <x:c r="I215" s="66" t="n">
        <x:f>G215*H215</x:f>
        <x:v>0</x:v>
      </x:c>
      <x:c r="J215" s="66" t="str">
        <x:f>IFERROR(VLOOKUP(D215,Inventory!$B:$F,4,FALSE),0)</x:f>
      </x:c>
      <x:c r="K215" s="66" t="n">
        <x:f>H215-J215</x:f>
        <x:v>0</x:v>
      </x:c>
      <x:c r="L215" s="66" t="n">
        <x:f>K215*G215</x:f>
        <x:v>0</x:v>
      </x:c>
      <x:c r="M215" s="50"/>
      <x:c r="N215" s="66"/>
      <x:c r="O215" s="50"/>
    </x:row>
    <x:row r="216">
      <x:c r="A216" s="50"/>
      <x:c r="B216" s="64"/>
      <x:c r="C216" s="50"/>
      <x:c r="D216" s="50"/>
      <x:c r="E216" s="50" t="str">
        <x:f>IFERROR(VLOOKUP(D216,Inventory!$B:$D,2,FALSE),"")</x:f>
      </x:c>
      <x:c r="F216" s="50" t="str">
        <x:f>IFERROR(VLOOKUP(D216,Inventory!$B:$D,3,FALSE),"")</x:f>
      </x:c>
      <x:c r="G216" s="65" t="n">
        <x:v>0</x:v>
      </x:c>
      <x:c r="H216" s="66" t="n">
        <x:v>0</x:v>
      </x:c>
      <x:c r="I216" s="66" t="n">
        <x:f>G216*H216</x:f>
        <x:v>0</x:v>
      </x:c>
      <x:c r="J216" s="66" t="str">
        <x:f>IFERROR(VLOOKUP(D216,Inventory!$B:$F,4,FALSE),0)</x:f>
      </x:c>
      <x:c r="K216" s="66" t="n">
        <x:f>H216-J216</x:f>
        <x:v>0</x:v>
      </x:c>
      <x:c r="L216" s="66" t="n">
        <x:f>K216*G216</x:f>
        <x:v>0</x:v>
      </x:c>
      <x:c r="M216" s="50"/>
      <x:c r="N216" s="66"/>
      <x:c r="O216" s="50"/>
    </x:row>
    <x:row r="217">
      <x:c r="A217" s="50"/>
      <x:c r="B217" s="64"/>
      <x:c r="C217" s="50"/>
      <x:c r="D217" s="50"/>
      <x:c r="E217" s="50" t="str">
        <x:f>IFERROR(VLOOKUP(D217,Inventory!$B:$D,2,FALSE),"")</x:f>
      </x:c>
      <x:c r="F217" s="50" t="str">
        <x:f>IFERROR(VLOOKUP(D217,Inventory!$B:$D,3,FALSE),"")</x:f>
      </x:c>
      <x:c r="G217" s="65" t="n">
        <x:v>0</x:v>
      </x:c>
      <x:c r="H217" s="66" t="n">
        <x:v>0</x:v>
      </x:c>
      <x:c r="I217" s="66" t="n">
        <x:f>G217*H217</x:f>
        <x:v>0</x:v>
      </x:c>
      <x:c r="J217" s="66" t="str">
        <x:f>IFERROR(VLOOKUP(D217,Inventory!$B:$F,4,FALSE),0)</x:f>
      </x:c>
      <x:c r="K217" s="66" t="n">
        <x:f>H217-J217</x:f>
        <x:v>0</x:v>
      </x:c>
      <x:c r="L217" s="66" t="n">
        <x:f>K217*G217</x:f>
        <x:v>0</x:v>
      </x:c>
      <x:c r="M217" s="50"/>
      <x:c r="N217" s="66"/>
      <x:c r="O217" s="50"/>
    </x:row>
    <x:row r="218">
      <x:c r="A218" s="50"/>
      <x:c r="B218" s="64"/>
      <x:c r="C218" s="50"/>
      <x:c r="D218" s="50"/>
      <x:c r="E218" s="50" t="str">
        <x:f>IFERROR(VLOOKUP(D218,Inventory!$B:$D,2,FALSE),"")</x:f>
      </x:c>
      <x:c r="F218" s="50" t="str">
        <x:f>IFERROR(VLOOKUP(D218,Inventory!$B:$D,3,FALSE),"")</x:f>
      </x:c>
      <x:c r="G218" s="65" t="n">
        <x:v>0</x:v>
      </x:c>
      <x:c r="H218" s="66" t="n">
        <x:v>0</x:v>
      </x:c>
      <x:c r="I218" s="66" t="n">
        <x:f>G218*H218</x:f>
        <x:v>0</x:v>
      </x:c>
      <x:c r="J218" s="66" t="str">
        <x:f>IFERROR(VLOOKUP(D218,Inventory!$B:$F,4,FALSE),0)</x:f>
      </x:c>
      <x:c r="K218" s="66" t="n">
        <x:f>H218-J218</x:f>
        <x:v>0</x:v>
      </x:c>
      <x:c r="L218" s="66" t="n">
        <x:f>K218*G218</x:f>
        <x:v>0</x:v>
      </x:c>
      <x:c r="M218" s="50"/>
      <x:c r="N218" s="66"/>
      <x:c r="O218" s="50"/>
    </x:row>
    <x:row r="219">
      <x:c r="A219" s="50"/>
      <x:c r="B219" s="64"/>
      <x:c r="C219" s="50"/>
      <x:c r="D219" s="50"/>
      <x:c r="E219" s="50" t="str">
        <x:f>IFERROR(VLOOKUP(D219,Inventory!$B:$D,2,FALSE),"")</x:f>
      </x:c>
      <x:c r="F219" s="50" t="str">
        <x:f>IFERROR(VLOOKUP(D219,Inventory!$B:$D,3,FALSE),"")</x:f>
      </x:c>
      <x:c r="G219" s="65" t="n">
        <x:v>0</x:v>
      </x:c>
      <x:c r="H219" s="66" t="n">
        <x:v>0</x:v>
      </x:c>
      <x:c r="I219" s="66" t="n">
        <x:f>G219*H219</x:f>
        <x:v>0</x:v>
      </x:c>
      <x:c r="J219" s="66" t="str">
        <x:f>IFERROR(VLOOKUP(D219,Inventory!$B:$F,4,FALSE),0)</x:f>
      </x:c>
      <x:c r="K219" s="66" t="n">
        <x:f>H219-J219</x:f>
        <x:v>0</x:v>
      </x:c>
      <x:c r="L219" s="66" t="n">
        <x:f>K219*G219</x:f>
        <x:v>0</x:v>
      </x:c>
      <x:c r="M219" s="50"/>
      <x:c r="N219" s="66"/>
      <x:c r="O219" s="50"/>
    </x:row>
    <x:row r="220">
      <x:c r="A220" s="50"/>
      <x:c r="B220" s="64"/>
      <x:c r="C220" s="50"/>
      <x:c r="D220" s="50"/>
      <x:c r="E220" s="50" t="str">
        <x:f>IFERROR(VLOOKUP(D220,Inventory!$B:$D,2,FALSE),"")</x:f>
      </x:c>
      <x:c r="F220" s="50" t="str">
        <x:f>IFERROR(VLOOKUP(D220,Inventory!$B:$D,3,FALSE),"")</x:f>
      </x:c>
      <x:c r="G220" s="65" t="n">
        <x:v>0</x:v>
      </x:c>
      <x:c r="H220" s="66" t="n">
        <x:v>0</x:v>
      </x:c>
      <x:c r="I220" s="66" t="n">
        <x:f>G220*H220</x:f>
        <x:v>0</x:v>
      </x:c>
      <x:c r="J220" s="66" t="str">
        <x:f>IFERROR(VLOOKUP(D220,Inventory!$B:$F,4,FALSE),0)</x:f>
      </x:c>
      <x:c r="K220" s="66" t="n">
        <x:f>H220-J220</x:f>
        <x:v>0</x:v>
      </x:c>
      <x:c r="L220" s="66" t="n">
        <x:f>K220*G220</x:f>
        <x:v>0</x:v>
      </x:c>
      <x:c r="M220" s="50"/>
      <x:c r="N220" s="66"/>
      <x:c r="O220" s="50"/>
    </x:row>
    <x:row r="221">
      <x:c r="A221" s="50"/>
      <x:c r="B221" s="64"/>
      <x:c r="C221" s="50"/>
      <x:c r="D221" s="50"/>
      <x:c r="E221" s="50" t="str">
        <x:f>IFERROR(VLOOKUP(D221,Inventory!$B:$D,2,FALSE),"")</x:f>
      </x:c>
      <x:c r="F221" s="50" t="str">
        <x:f>IFERROR(VLOOKUP(D221,Inventory!$B:$D,3,FALSE),"")</x:f>
      </x:c>
      <x:c r="G221" s="65" t="n">
        <x:v>0</x:v>
      </x:c>
      <x:c r="H221" s="66" t="n">
        <x:v>0</x:v>
      </x:c>
      <x:c r="I221" s="66" t="n">
        <x:f>G221*H221</x:f>
        <x:v>0</x:v>
      </x:c>
      <x:c r="J221" s="66" t="str">
        <x:f>IFERROR(VLOOKUP(D221,Inventory!$B:$F,4,FALSE),0)</x:f>
      </x:c>
      <x:c r="K221" s="66" t="n">
        <x:f>H221-J221</x:f>
        <x:v>0</x:v>
      </x:c>
      <x:c r="L221" s="66" t="n">
        <x:f>K221*G221</x:f>
        <x:v>0</x:v>
      </x:c>
      <x:c r="M221" s="50"/>
      <x:c r="N221" s="66"/>
      <x:c r="O221" s="50"/>
    </x:row>
    <x:row r="222">
      <x:c r="A222" s="50"/>
      <x:c r="B222" s="64"/>
      <x:c r="C222" s="50"/>
      <x:c r="D222" s="50"/>
      <x:c r="E222" s="50" t="str">
        <x:f>IFERROR(VLOOKUP(D222,Inventory!$B:$D,2,FALSE),"")</x:f>
      </x:c>
      <x:c r="F222" s="50" t="str">
        <x:f>IFERROR(VLOOKUP(D222,Inventory!$B:$D,3,FALSE),"")</x:f>
      </x:c>
      <x:c r="G222" s="65" t="n">
        <x:v>0</x:v>
      </x:c>
      <x:c r="H222" s="66" t="n">
        <x:v>0</x:v>
      </x:c>
      <x:c r="I222" s="66" t="n">
        <x:f>G222*H222</x:f>
        <x:v>0</x:v>
      </x:c>
      <x:c r="J222" s="66" t="str">
        <x:f>IFERROR(VLOOKUP(D222,Inventory!$B:$F,4,FALSE),0)</x:f>
      </x:c>
      <x:c r="K222" s="66" t="n">
        <x:f>H222-J222</x:f>
        <x:v>0</x:v>
      </x:c>
      <x:c r="L222" s="66" t="n">
        <x:f>K222*G222</x:f>
        <x:v>0</x:v>
      </x:c>
      <x:c r="M222" s="50"/>
      <x:c r="N222" s="66"/>
      <x:c r="O222" s="50"/>
    </x:row>
    <x:row r="223">
      <x:c r="A223" s="50"/>
      <x:c r="B223" s="64"/>
      <x:c r="C223" s="50"/>
      <x:c r="D223" s="50"/>
      <x:c r="E223" s="50" t="str">
        <x:f>IFERROR(VLOOKUP(D223,Inventory!$B:$D,2,FALSE),"")</x:f>
      </x:c>
      <x:c r="F223" s="50" t="str">
        <x:f>IFERROR(VLOOKUP(D223,Inventory!$B:$D,3,FALSE),"")</x:f>
      </x:c>
      <x:c r="G223" s="65" t="n">
        <x:v>0</x:v>
      </x:c>
      <x:c r="H223" s="66" t="n">
        <x:v>0</x:v>
      </x:c>
      <x:c r="I223" s="66" t="n">
        <x:f>G223*H223</x:f>
        <x:v>0</x:v>
      </x:c>
      <x:c r="J223" s="66" t="str">
        <x:f>IFERROR(VLOOKUP(D223,Inventory!$B:$F,4,FALSE),0)</x:f>
      </x:c>
      <x:c r="K223" s="66" t="n">
        <x:f>H223-J223</x:f>
        <x:v>0</x:v>
      </x:c>
      <x:c r="L223" s="66" t="n">
        <x:f>K223*G223</x:f>
        <x:v>0</x:v>
      </x:c>
      <x:c r="M223" s="50"/>
      <x:c r="N223" s="66"/>
      <x:c r="O223" s="50"/>
    </x:row>
    <x:row r="224">
      <x:c r="A224" s="50"/>
      <x:c r="B224" s="64"/>
      <x:c r="C224" s="50"/>
      <x:c r="D224" s="50"/>
      <x:c r="E224" s="50" t="str">
        <x:f>IFERROR(VLOOKUP(D224,Inventory!$B:$D,2,FALSE),"")</x:f>
      </x:c>
      <x:c r="F224" s="50" t="str">
        <x:f>IFERROR(VLOOKUP(D224,Inventory!$B:$D,3,FALSE),"")</x:f>
      </x:c>
      <x:c r="G224" s="65" t="n">
        <x:v>0</x:v>
      </x:c>
      <x:c r="H224" s="66" t="n">
        <x:v>0</x:v>
      </x:c>
      <x:c r="I224" s="66" t="n">
        <x:f>G224*H224</x:f>
        <x:v>0</x:v>
      </x:c>
      <x:c r="J224" s="66" t="str">
        <x:f>IFERROR(VLOOKUP(D224,Inventory!$B:$F,4,FALSE),0)</x:f>
      </x:c>
      <x:c r="K224" s="66" t="n">
        <x:f>H224-J224</x:f>
        <x:v>0</x:v>
      </x:c>
      <x:c r="L224" s="66" t="n">
        <x:f>K224*G224</x:f>
        <x:v>0</x:v>
      </x:c>
      <x:c r="M224" s="50"/>
      <x:c r="N224" s="66"/>
      <x:c r="O224" s="50"/>
    </x:row>
    <x:row r="225">
      <x:c r="A225" s="50"/>
      <x:c r="B225" s="64"/>
      <x:c r="C225" s="50"/>
      <x:c r="D225" s="50"/>
      <x:c r="E225" s="50" t="str">
        <x:f>IFERROR(VLOOKUP(D225,Inventory!$B:$D,2,FALSE),"")</x:f>
      </x:c>
      <x:c r="F225" s="50" t="str">
        <x:f>IFERROR(VLOOKUP(D225,Inventory!$B:$D,3,FALSE),"")</x:f>
      </x:c>
      <x:c r="G225" s="65" t="n">
        <x:v>0</x:v>
      </x:c>
      <x:c r="H225" s="66" t="n">
        <x:v>0</x:v>
      </x:c>
      <x:c r="I225" s="66" t="n">
        <x:f>G225*H225</x:f>
        <x:v>0</x:v>
      </x:c>
      <x:c r="J225" s="66" t="str">
        <x:f>IFERROR(VLOOKUP(D225,Inventory!$B:$F,4,FALSE),0)</x:f>
      </x:c>
      <x:c r="K225" s="66" t="n">
        <x:f>H225-J225</x:f>
        <x:v>0</x:v>
      </x:c>
      <x:c r="L225" s="66" t="n">
        <x:f>K225*G225</x:f>
        <x:v>0</x:v>
      </x:c>
      <x:c r="M225" s="50"/>
      <x:c r="N225" s="66"/>
      <x:c r="O225" s="50"/>
    </x:row>
    <x:row r="226">
      <x:c r="A226" s="50"/>
      <x:c r="B226" s="64"/>
      <x:c r="C226" s="50"/>
      <x:c r="D226" s="50"/>
      <x:c r="E226" s="50" t="str">
        <x:f>IFERROR(VLOOKUP(D226,Inventory!$B:$D,2,FALSE),"")</x:f>
      </x:c>
      <x:c r="F226" s="50" t="str">
        <x:f>IFERROR(VLOOKUP(D226,Inventory!$B:$D,3,FALSE),"")</x:f>
      </x:c>
      <x:c r="G226" s="65" t="n">
        <x:v>0</x:v>
      </x:c>
      <x:c r="H226" s="66" t="n">
        <x:v>0</x:v>
      </x:c>
      <x:c r="I226" s="66" t="n">
        <x:f>G226*H226</x:f>
        <x:v>0</x:v>
      </x:c>
      <x:c r="J226" s="66" t="str">
        <x:f>IFERROR(VLOOKUP(D226,Inventory!$B:$F,4,FALSE),0)</x:f>
      </x:c>
      <x:c r="K226" s="66" t="n">
        <x:f>H226-J226</x:f>
        <x:v>0</x:v>
      </x:c>
      <x:c r="L226" s="66" t="n">
        <x:f>K226*G226</x:f>
        <x:v>0</x:v>
      </x:c>
      <x:c r="M226" s="50"/>
      <x:c r="N226" s="66"/>
      <x:c r="O226" s="50"/>
    </x:row>
    <x:row r="227">
      <x:c r="A227" s="50"/>
      <x:c r="B227" s="64"/>
      <x:c r="C227" s="50"/>
      <x:c r="D227" s="50"/>
      <x:c r="E227" s="50" t="str">
        <x:f>IFERROR(VLOOKUP(D227,Inventory!$B:$D,2,FALSE),"")</x:f>
      </x:c>
      <x:c r="F227" s="50" t="str">
        <x:f>IFERROR(VLOOKUP(D227,Inventory!$B:$D,3,FALSE),"")</x:f>
      </x:c>
      <x:c r="G227" s="65" t="n">
        <x:v>0</x:v>
      </x:c>
      <x:c r="H227" s="66" t="n">
        <x:v>0</x:v>
      </x:c>
      <x:c r="I227" s="66" t="n">
        <x:f>G227*H227</x:f>
        <x:v>0</x:v>
      </x:c>
      <x:c r="J227" s="66" t="str">
        <x:f>IFERROR(VLOOKUP(D227,Inventory!$B:$F,4,FALSE),0)</x:f>
      </x:c>
      <x:c r="K227" s="66" t="n">
        <x:f>H227-J227</x:f>
        <x:v>0</x:v>
      </x:c>
      <x:c r="L227" s="66" t="n">
        <x:f>K227*G227</x:f>
        <x:v>0</x:v>
      </x:c>
      <x:c r="M227" s="50"/>
      <x:c r="N227" s="66"/>
      <x:c r="O227" s="50"/>
    </x:row>
    <x:row r="228">
      <x:c r="A228" s="50"/>
      <x:c r="B228" s="64"/>
      <x:c r="C228" s="50"/>
      <x:c r="D228" s="50"/>
      <x:c r="E228" s="50" t="str">
        <x:f>IFERROR(VLOOKUP(D228,Inventory!$B:$D,2,FALSE),"")</x:f>
      </x:c>
      <x:c r="F228" s="50" t="str">
        <x:f>IFERROR(VLOOKUP(D228,Inventory!$B:$D,3,FALSE),"")</x:f>
      </x:c>
      <x:c r="G228" s="65" t="n">
        <x:v>0</x:v>
      </x:c>
      <x:c r="H228" s="66" t="n">
        <x:v>0</x:v>
      </x:c>
      <x:c r="I228" s="66" t="n">
        <x:f>G228*H228</x:f>
        <x:v>0</x:v>
      </x:c>
      <x:c r="J228" s="66" t="str">
        <x:f>IFERROR(VLOOKUP(D228,Inventory!$B:$F,4,FALSE),0)</x:f>
      </x:c>
      <x:c r="K228" s="66" t="n">
        <x:f>H228-J228</x:f>
        <x:v>0</x:v>
      </x:c>
      <x:c r="L228" s="66" t="n">
        <x:f>K228*G228</x:f>
        <x:v>0</x:v>
      </x:c>
      <x:c r="M228" s="50"/>
      <x:c r="N228" s="66"/>
      <x:c r="O228" s="50"/>
    </x:row>
    <x:row r="229">
      <x:c r="A229" s="50"/>
      <x:c r="B229" s="64"/>
      <x:c r="C229" s="50"/>
      <x:c r="D229" s="50"/>
      <x:c r="E229" s="50" t="str">
        <x:f>IFERROR(VLOOKUP(D229,Inventory!$B:$D,2,FALSE),"")</x:f>
      </x:c>
      <x:c r="F229" s="50" t="str">
        <x:f>IFERROR(VLOOKUP(D229,Inventory!$B:$D,3,FALSE),"")</x:f>
      </x:c>
      <x:c r="G229" s="65" t="n">
        <x:v>0</x:v>
      </x:c>
      <x:c r="H229" s="66" t="n">
        <x:v>0</x:v>
      </x:c>
      <x:c r="I229" s="66" t="n">
        <x:f>G229*H229</x:f>
        <x:v>0</x:v>
      </x:c>
      <x:c r="J229" s="66" t="str">
        <x:f>IFERROR(VLOOKUP(D229,Inventory!$B:$F,4,FALSE),0)</x:f>
      </x:c>
      <x:c r="K229" s="66" t="n">
        <x:f>H229-J229</x:f>
        <x:v>0</x:v>
      </x:c>
      <x:c r="L229" s="66" t="n">
        <x:f>K229*G229</x:f>
        <x:v>0</x:v>
      </x:c>
      <x:c r="M229" s="50"/>
      <x:c r="N229" s="66"/>
      <x:c r="O229" s="50"/>
    </x:row>
    <x:row r="230">
      <x:c r="A230" s="50"/>
      <x:c r="B230" s="64"/>
      <x:c r="C230" s="50"/>
      <x:c r="D230" s="50"/>
      <x:c r="E230" s="50" t="str">
        <x:f>IFERROR(VLOOKUP(D230,Inventory!$B:$D,2,FALSE),"")</x:f>
      </x:c>
      <x:c r="F230" s="50" t="str">
        <x:f>IFERROR(VLOOKUP(D230,Inventory!$B:$D,3,FALSE),"")</x:f>
      </x:c>
      <x:c r="G230" s="65" t="n">
        <x:v>0</x:v>
      </x:c>
      <x:c r="H230" s="66" t="n">
        <x:v>0</x:v>
      </x:c>
      <x:c r="I230" s="66" t="n">
        <x:f>G230*H230</x:f>
        <x:v>0</x:v>
      </x:c>
      <x:c r="J230" s="66" t="str">
        <x:f>IFERROR(VLOOKUP(D230,Inventory!$B:$F,4,FALSE),0)</x:f>
      </x:c>
      <x:c r="K230" s="66" t="n">
        <x:f>H230-J230</x:f>
        <x:v>0</x:v>
      </x:c>
      <x:c r="L230" s="66" t="n">
        <x:f>K230*G230</x:f>
        <x:v>0</x:v>
      </x:c>
      <x:c r="M230" s="50"/>
      <x:c r="N230" s="66"/>
      <x:c r="O230" s="50"/>
    </x:row>
    <x:row r="231">
      <x:c r="A231" s="50"/>
      <x:c r="B231" s="64"/>
      <x:c r="C231" s="50"/>
      <x:c r="D231" s="50"/>
      <x:c r="E231" s="50" t="str">
        <x:f>IFERROR(VLOOKUP(D231,Inventory!$B:$D,2,FALSE),"")</x:f>
      </x:c>
      <x:c r="F231" s="50" t="str">
        <x:f>IFERROR(VLOOKUP(D231,Inventory!$B:$D,3,FALSE),"")</x:f>
      </x:c>
      <x:c r="G231" s="65" t="n">
        <x:v>0</x:v>
      </x:c>
      <x:c r="H231" s="66" t="n">
        <x:v>0</x:v>
      </x:c>
      <x:c r="I231" s="66" t="n">
        <x:f>G231*H231</x:f>
        <x:v>0</x:v>
      </x:c>
      <x:c r="J231" s="66" t="str">
        <x:f>IFERROR(VLOOKUP(D231,Inventory!$B:$F,4,FALSE),0)</x:f>
      </x:c>
      <x:c r="K231" s="66" t="n">
        <x:f>H231-J231</x:f>
        <x:v>0</x:v>
      </x:c>
      <x:c r="L231" s="66" t="n">
        <x:f>K231*G231</x:f>
        <x:v>0</x:v>
      </x:c>
      <x:c r="M231" s="50"/>
      <x:c r="N231" s="66"/>
      <x:c r="O231" s="50"/>
    </x:row>
    <x:row r="232">
      <x:c r="A232" s="50"/>
      <x:c r="B232" s="64"/>
      <x:c r="C232" s="50"/>
      <x:c r="D232" s="50"/>
      <x:c r="E232" s="50" t="str">
        <x:f>IFERROR(VLOOKUP(D232,Inventory!$B:$D,2,FALSE),"")</x:f>
      </x:c>
      <x:c r="F232" s="50" t="str">
        <x:f>IFERROR(VLOOKUP(D232,Inventory!$B:$D,3,FALSE),"")</x:f>
      </x:c>
      <x:c r="G232" s="65" t="n">
        <x:v>0</x:v>
      </x:c>
      <x:c r="H232" s="66" t="n">
        <x:v>0</x:v>
      </x:c>
      <x:c r="I232" s="66" t="n">
        <x:f>G232*H232</x:f>
        <x:v>0</x:v>
      </x:c>
      <x:c r="J232" s="66" t="str">
        <x:f>IFERROR(VLOOKUP(D232,Inventory!$B:$F,4,FALSE),0)</x:f>
      </x:c>
      <x:c r="K232" s="66" t="n">
        <x:f>H232-J232</x:f>
        <x:v>0</x:v>
      </x:c>
      <x:c r="L232" s="66" t="n">
        <x:f>K232*G232</x:f>
        <x:v>0</x:v>
      </x:c>
      <x:c r="M232" s="50"/>
      <x:c r="N232" s="66"/>
      <x:c r="O232" s="50"/>
    </x:row>
    <x:row r="233">
      <x:c r="A233" s="50"/>
      <x:c r="B233" s="64"/>
      <x:c r="C233" s="50"/>
      <x:c r="D233" s="50"/>
      <x:c r="E233" s="50" t="str">
        <x:f>IFERROR(VLOOKUP(D233,Inventory!$B:$D,2,FALSE),"")</x:f>
      </x:c>
      <x:c r="F233" s="50" t="str">
        <x:f>IFERROR(VLOOKUP(D233,Inventory!$B:$D,3,FALSE),"")</x:f>
      </x:c>
      <x:c r="G233" s="65" t="n">
        <x:v>0</x:v>
      </x:c>
      <x:c r="H233" s="66" t="n">
        <x:v>0</x:v>
      </x:c>
      <x:c r="I233" s="66" t="n">
        <x:f>G233*H233</x:f>
        <x:v>0</x:v>
      </x:c>
      <x:c r="J233" s="66" t="str">
        <x:f>IFERROR(VLOOKUP(D233,Inventory!$B:$F,4,FALSE),0)</x:f>
      </x:c>
      <x:c r="K233" s="66" t="n">
        <x:f>H233-J233</x:f>
        <x:v>0</x:v>
      </x:c>
      <x:c r="L233" s="66" t="n">
        <x:f>K233*G233</x:f>
        <x:v>0</x:v>
      </x:c>
      <x:c r="M233" s="50"/>
      <x:c r="N233" s="66"/>
      <x:c r="O233" s="50"/>
    </x:row>
    <x:row r="234">
      <x:c r="A234" s="50"/>
      <x:c r="B234" s="64"/>
      <x:c r="C234" s="50"/>
      <x:c r="D234" s="50"/>
      <x:c r="E234" s="50" t="str">
        <x:f>IFERROR(VLOOKUP(D234,Inventory!$B:$D,2,FALSE),"")</x:f>
      </x:c>
      <x:c r="F234" s="50" t="str">
        <x:f>IFERROR(VLOOKUP(D234,Inventory!$B:$D,3,FALSE),"")</x:f>
      </x:c>
      <x:c r="G234" s="65" t="n">
        <x:v>0</x:v>
      </x:c>
      <x:c r="H234" s="66" t="n">
        <x:v>0</x:v>
      </x:c>
      <x:c r="I234" s="66" t="n">
        <x:f>G234*H234</x:f>
        <x:v>0</x:v>
      </x:c>
      <x:c r="J234" s="66" t="str">
        <x:f>IFERROR(VLOOKUP(D234,Inventory!$B:$F,4,FALSE),0)</x:f>
      </x:c>
      <x:c r="K234" s="66" t="n">
        <x:f>H234-J234</x:f>
        <x:v>0</x:v>
      </x:c>
      <x:c r="L234" s="66" t="n">
        <x:f>K234*G234</x:f>
        <x:v>0</x:v>
      </x:c>
      <x:c r="M234" s="50"/>
      <x:c r="N234" s="66"/>
      <x:c r="O234" s="50"/>
    </x:row>
    <x:row r="235">
      <x:c r="A235" s="50"/>
      <x:c r="B235" s="64"/>
      <x:c r="C235" s="50"/>
      <x:c r="D235" s="50"/>
      <x:c r="E235" s="50" t="str">
        <x:f>IFERROR(VLOOKUP(D235,Inventory!$B:$D,2,FALSE),"")</x:f>
      </x:c>
      <x:c r="F235" s="50" t="str">
        <x:f>IFERROR(VLOOKUP(D235,Inventory!$B:$D,3,FALSE),"")</x:f>
      </x:c>
      <x:c r="G235" s="65" t="n">
        <x:v>0</x:v>
      </x:c>
      <x:c r="H235" s="66" t="n">
        <x:v>0</x:v>
      </x:c>
      <x:c r="I235" s="66" t="n">
        <x:f>G235*H235</x:f>
        <x:v>0</x:v>
      </x:c>
      <x:c r="J235" s="66" t="str">
        <x:f>IFERROR(VLOOKUP(D235,Inventory!$B:$F,4,FALSE),0)</x:f>
      </x:c>
      <x:c r="K235" s="66" t="n">
        <x:f>H235-J235</x:f>
        <x:v>0</x:v>
      </x:c>
      <x:c r="L235" s="66" t="n">
        <x:f>K235*G235</x:f>
        <x:v>0</x:v>
      </x:c>
      <x:c r="M235" s="50"/>
      <x:c r="N235" s="66"/>
      <x:c r="O235" s="50"/>
    </x:row>
    <x:row r="236">
      <x:c r="A236" s="50"/>
      <x:c r="B236" s="64"/>
      <x:c r="C236" s="50"/>
      <x:c r="D236" s="50"/>
      <x:c r="E236" s="50" t="str">
        <x:f>IFERROR(VLOOKUP(D236,Inventory!$B:$D,2,FALSE),"")</x:f>
      </x:c>
      <x:c r="F236" s="50" t="str">
        <x:f>IFERROR(VLOOKUP(D236,Inventory!$B:$D,3,FALSE),"")</x:f>
      </x:c>
      <x:c r="G236" s="65" t="n">
        <x:v>0</x:v>
      </x:c>
      <x:c r="H236" s="66" t="n">
        <x:v>0</x:v>
      </x:c>
      <x:c r="I236" s="66" t="n">
        <x:f>G236*H236</x:f>
        <x:v>0</x:v>
      </x:c>
      <x:c r="J236" s="66" t="str">
        <x:f>IFERROR(VLOOKUP(D236,Inventory!$B:$F,4,FALSE),0)</x:f>
      </x:c>
      <x:c r="K236" s="66" t="n">
        <x:f>H236-J236</x:f>
        <x:v>0</x:v>
      </x:c>
      <x:c r="L236" s="66" t="n">
        <x:f>K236*G236</x:f>
        <x:v>0</x:v>
      </x:c>
      <x:c r="M236" s="50"/>
      <x:c r="N236" s="66"/>
      <x:c r="O236" s="50"/>
    </x:row>
    <x:row r="237">
      <x:c r="A237" s="50"/>
      <x:c r="B237" s="64"/>
      <x:c r="C237" s="50"/>
      <x:c r="D237" s="50"/>
      <x:c r="E237" s="50" t="str">
        <x:f>IFERROR(VLOOKUP(D237,Inventory!$B:$D,2,FALSE),"")</x:f>
      </x:c>
      <x:c r="F237" s="50" t="str">
        <x:f>IFERROR(VLOOKUP(D237,Inventory!$B:$D,3,FALSE),"")</x:f>
      </x:c>
      <x:c r="G237" s="65" t="n">
        <x:v>0</x:v>
      </x:c>
      <x:c r="H237" s="66" t="n">
        <x:v>0</x:v>
      </x:c>
      <x:c r="I237" s="66" t="n">
        <x:f>G237*H237</x:f>
        <x:v>0</x:v>
      </x:c>
      <x:c r="J237" s="66" t="str">
        <x:f>IFERROR(VLOOKUP(D237,Inventory!$B:$F,4,FALSE),0)</x:f>
      </x:c>
      <x:c r="K237" s="66" t="n">
        <x:f>H237-J237</x:f>
        <x:v>0</x:v>
      </x:c>
      <x:c r="L237" s="66" t="n">
        <x:f>K237*G237</x:f>
        <x:v>0</x:v>
      </x:c>
      <x:c r="M237" s="50"/>
      <x:c r="N237" s="66"/>
      <x:c r="O237" s="50"/>
    </x:row>
    <x:row r="238">
      <x:c r="A238" s="50"/>
      <x:c r="B238" s="64"/>
      <x:c r="C238" s="50"/>
      <x:c r="D238" s="50"/>
      <x:c r="E238" s="50" t="str">
        <x:f>IFERROR(VLOOKUP(D238,Inventory!$B:$D,2,FALSE),"")</x:f>
      </x:c>
      <x:c r="F238" s="50" t="str">
        <x:f>IFERROR(VLOOKUP(D238,Inventory!$B:$D,3,FALSE),"")</x:f>
      </x:c>
      <x:c r="G238" s="65" t="n">
        <x:v>0</x:v>
      </x:c>
      <x:c r="H238" s="66" t="n">
        <x:v>0</x:v>
      </x:c>
      <x:c r="I238" s="66" t="n">
        <x:f>G238*H238</x:f>
        <x:v>0</x:v>
      </x:c>
      <x:c r="J238" s="66" t="str">
        <x:f>IFERROR(VLOOKUP(D238,Inventory!$B:$F,4,FALSE),0)</x:f>
      </x:c>
      <x:c r="K238" s="66" t="n">
        <x:f>H238-J238</x:f>
        <x:v>0</x:v>
      </x:c>
      <x:c r="L238" s="66" t="n">
        <x:f>K238*G238</x:f>
        <x:v>0</x:v>
      </x:c>
      <x:c r="M238" s="50"/>
      <x:c r="N238" s="66"/>
      <x:c r="O238" s="50"/>
    </x:row>
    <x:row r="239">
      <x:c r="A239" s="50"/>
      <x:c r="B239" s="64"/>
      <x:c r="C239" s="50"/>
      <x:c r="D239" s="50"/>
      <x:c r="E239" s="50" t="str">
        <x:f>IFERROR(VLOOKUP(D239,Inventory!$B:$D,2,FALSE),"")</x:f>
      </x:c>
      <x:c r="F239" s="50" t="str">
        <x:f>IFERROR(VLOOKUP(D239,Inventory!$B:$D,3,FALSE),"")</x:f>
      </x:c>
      <x:c r="G239" s="65" t="n">
        <x:v>0</x:v>
      </x:c>
      <x:c r="H239" s="66" t="n">
        <x:v>0</x:v>
      </x:c>
      <x:c r="I239" s="66" t="n">
        <x:f>G239*H239</x:f>
        <x:v>0</x:v>
      </x:c>
      <x:c r="J239" s="66" t="str">
        <x:f>IFERROR(VLOOKUP(D239,Inventory!$B:$F,4,FALSE),0)</x:f>
      </x:c>
      <x:c r="K239" s="66" t="n">
        <x:f>H239-J239</x:f>
        <x:v>0</x:v>
      </x:c>
      <x:c r="L239" s="66" t="n">
        <x:f>K239*G239</x:f>
        <x:v>0</x:v>
      </x:c>
      <x:c r="M239" s="50"/>
      <x:c r="N239" s="66"/>
      <x:c r="O239" s="50"/>
    </x:row>
    <x:row r="240">
      <x:c r="A240" s="50"/>
      <x:c r="B240" s="64"/>
      <x:c r="C240" s="50"/>
      <x:c r="D240" s="50"/>
      <x:c r="E240" s="50" t="str">
        <x:f>IFERROR(VLOOKUP(D240,Inventory!$B:$D,2,FALSE),"")</x:f>
      </x:c>
      <x:c r="F240" s="50" t="str">
        <x:f>IFERROR(VLOOKUP(D240,Inventory!$B:$D,3,FALSE),"")</x:f>
      </x:c>
      <x:c r="G240" s="65" t="n">
        <x:v>0</x:v>
      </x:c>
      <x:c r="H240" s="66" t="n">
        <x:v>0</x:v>
      </x:c>
      <x:c r="I240" s="66" t="n">
        <x:f>G240*H240</x:f>
        <x:v>0</x:v>
      </x:c>
      <x:c r="J240" s="66" t="str">
        <x:f>IFERROR(VLOOKUP(D240,Inventory!$B:$F,4,FALSE),0)</x:f>
      </x:c>
      <x:c r="K240" s="66" t="n">
        <x:f>H240-J240</x:f>
        <x:v>0</x:v>
      </x:c>
      <x:c r="L240" s="66" t="n">
        <x:f>K240*G240</x:f>
        <x:v>0</x:v>
      </x:c>
      <x:c r="M240" s="50"/>
      <x:c r="N240" s="66"/>
      <x:c r="O240" s="50"/>
    </x:row>
    <x:row r="241">
      <x:c r="A241" s="50"/>
      <x:c r="B241" s="64"/>
      <x:c r="C241" s="50"/>
      <x:c r="D241" s="50"/>
      <x:c r="E241" s="50" t="str">
        <x:f>IFERROR(VLOOKUP(D241,Inventory!$B:$D,2,FALSE),"")</x:f>
      </x:c>
      <x:c r="F241" s="50" t="str">
        <x:f>IFERROR(VLOOKUP(D241,Inventory!$B:$D,3,FALSE),"")</x:f>
      </x:c>
      <x:c r="G241" s="65" t="n">
        <x:v>0</x:v>
      </x:c>
      <x:c r="H241" s="66" t="n">
        <x:v>0</x:v>
      </x:c>
      <x:c r="I241" s="66" t="n">
        <x:f>G241*H241</x:f>
        <x:v>0</x:v>
      </x:c>
      <x:c r="J241" s="66" t="str">
        <x:f>IFERROR(VLOOKUP(D241,Inventory!$B:$F,4,FALSE),0)</x:f>
      </x:c>
      <x:c r="K241" s="66" t="n">
        <x:f>H241-J241</x:f>
        <x:v>0</x:v>
      </x:c>
      <x:c r="L241" s="66" t="n">
        <x:f>K241*G241</x:f>
        <x:v>0</x:v>
      </x:c>
      <x:c r="M241" s="50"/>
      <x:c r="N241" s="66"/>
      <x:c r="O241" s="50"/>
    </x:row>
    <x:row r="242">
      <x:c r="A242" s="50"/>
      <x:c r="B242" s="64"/>
      <x:c r="C242" s="50"/>
      <x:c r="D242" s="50"/>
      <x:c r="E242" s="50" t="str">
        <x:f>IFERROR(VLOOKUP(D242,Inventory!$B:$D,2,FALSE),"")</x:f>
      </x:c>
      <x:c r="F242" s="50" t="str">
        <x:f>IFERROR(VLOOKUP(D242,Inventory!$B:$D,3,FALSE),"")</x:f>
      </x:c>
      <x:c r="G242" s="65" t="n">
        <x:v>0</x:v>
      </x:c>
      <x:c r="H242" s="66" t="n">
        <x:v>0</x:v>
      </x:c>
      <x:c r="I242" s="66" t="n">
        <x:f>G242*H242</x:f>
        <x:v>0</x:v>
      </x:c>
      <x:c r="J242" s="66" t="str">
        <x:f>IFERROR(VLOOKUP(D242,Inventory!$B:$F,4,FALSE),0)</x:f>
      </x:c>
      <x:c r="K242" s="66" t="n">
        <x:f>H242-J242</x:f>
        <x:v>0</x:v>
      </x:c>
      <x:c r="L242" s="66" t="n">
        <x:f>K242*G242</x:f>
        <x:v>0</x:v>
      </x:c>
      <x:c r="M242" s="50"/>
      <x:c r="N242" s="66"/>
      <x:c r="O242" s="50"/>
    </x:row>
    <x:row r="243">
      <x:c r="A243" s="50"/>
      <x:c r="B243" s="64"/>
      <x:c r="C243" s="50"/>
      <x:c r="D243" s="50"/>
      <x:c r="E243" s="50" t="str">
        <x:f>IFERROR(VLOOKUP(D243,Inventory!$B:$D,2,FALSE),"")</x:f>
      </x:c>
      <x:c r="F243" s="50" t="str">
        <x:f>IFERROR(VLOOKUP(D243,Inventory!$B:$D,3,FALSE),"")</x:f>
      </x:c>
      <x:c r="G243" s="65" t="n">
        <x:v>0</x:v>
      </x:c>
      <x:c r="H243" s="66" t="n">
        <x:v>0</x:v>
      </x:c>
      <x:c r="I243" s="66" t="n">
        <x:f>G243*H243</x:f>
        <x:v>0</x:v>
      </x:c>
      <x:c r="J243" s="66" t="str">
        <x:f>IFERROR(VLOOKUP(D243,Inventory!$B:$F,4,FALSE),0)</x:f>
      </x:c>
      <x:c r="K243" s="66" t="n">
        <x:f>H243-J243</x:f>
        <x:v>0</x:v>
      </x:c>
      <x:c r="L243" s="66" t="n">
        <x:f>K243*G243</x:f>
        <x:v>0</x:v>
      </x:c>
      <x:c r="M243" s="50"/>
      <x:c r="N243" s="66"/>
      <x:c r="O243" s="50"/>
    </x:row>
    <x:row r="244">
      <x:c r="A244" s="50"/>
      <x:c r="B244" s="64"/>
      <x:c r="C244" s="50"/>
      <x:c r="D244" s="50"/>
      <x:c r="E244" s="50" t="str">
        <x:f>IFERROR(VLOOKUP(D244,Inventory!$B:$D,2,FALSE),"")</x:f>
      </x:c>
      <x:c r="F244" s="50" t="str">
        <x:f>IFERROR(VLOOKUP(D244,Inventory!$B:$D,3,FALSE),"")</x:f>
      </x:c>
      <x:c r="G244" s="65" t="n">
        <x:v>0</x:v>
      </x:c>
      <x:c r="H244" s="66" t="n">
        <x:v>0</x:v>
      </x:c>
      <x:c r="I244" s="66" t="n">
        <x:f>G244*H244</x:f>
        <x:v>0</x:v>
      </x:c>
      <x:c r="J244" s="66" t="str">
        <x:f>IFERROR(VLOOKUP(D244,Inventory!$B:$F,4,FALSE),0)</x:f>
      </x:c>
      <x:c r="K244" s="66" t="n">
        <x:f>H244-J244</x:f>
        <x:v>0</x:v>
      </x:c>
      <x:c r="L244" s="66" t="n">
        <x:f>K244*G244</x:f>
        <x:v>0</x:v>
      </x:c>
      <x:c r="M244" s="50"/>
      <x:c r="N244" s="66"/>
      <x:c r="O244" s="50"/>
    </x:row>
    <x:row r="245">
      <x:c r="A245" s="50"/>
      <x:c r="B245" s="64"/>
      <x:c r="C245" s="50"/>
      <x:c r="D245" s="50"/>
      <x:c r="E245" s="50" t="str">
        <x:f>IFERROR(VLOOKUP(D245,Inventory!$B:$D,2,FALSE),"")</x:f>
      </x:c>
      <x:c r="F245" s="50" t="str">
        <x:f>IFERROR(VLOOKUP(D245,Inventory!$B:$D,3,FALSE),"")</x:f>
      </x:c>
      <x:c r="G245" s="65" t="n">
        <x:v>0</x:v>
      </x:c>
      <x:c r="H245" s="66" t="n">
        <x:v>0</x:v>
      </x:c>
      <x:c r="I245" s="66" t="n">
        <x:f>G245*H245</x:f>
        <x:v>0</x:v>
      </x:c>
      <x:c r="J245" s="66" t="str">
        <x:f>IFERROR(VLOOKUP(D245,Inventory!$B:$F,4,FALSE),0)</x:f>
      </x:c>
      <x:c r="K245" s="66" t="n">
        <x:f>H245-J245</x:f>
        <x:v>0</x:v>
      </x:c>
      <x:c r="L245" s="66" t="n">
        <x:f>K245*G245</x:f>
        <x:v>0</x:v>
      </x:c>
      <x:c r="M245" s="50"/>
      <x:c r="N245" s="66"/>
      <x:c r="O245" s="50"/>
    </x:row>
    <x:row r="246">
      <x:c r="A246" s="50"/>
      <x:c r="B246" s="64"/>
      <x:c r="C246" s="50"/>
      <x:c r="D246" s="50"/>
      <x:c r="E246" s="50" t="str">
        <x:f>IFERROR(VLOOKUP(D246,Inventory!$B:$D,2,FALSE),"")</x:f>
      </x:c>
      <x:c r="F246" s="50" t="str">
        <x:f>IFERROR(VLOOKUP(D246,Inventory!$B:$D,3,FALSE),"")</x:f>
      </x:c>
      <x:c r="G246" s="65" t="n">
        <x:v>0</x:v>
      </x:c>
      <x:c r="H246" s="66" t="n">
        <x:v>0</x:v>
      </x:c>
      <x:c r="I246" s="66" t="n">
        <x:f>G246*H246</x:f>
        <x:v>0</x:v>
      </x:c>
      <x:c r="J246" s="66" t="str">
        <x:f>IFERROR(VLOOKUP(D246,Inventory!$B:$F,4,FALSE),0)</x:f>
      </x:c>
      <x:c r="K246" s="66" t="n">
        <x:f>H246-J246</x:f>
        <x:v>0</x:v>
      </x:c>
      <x:c r="L246" s="66" t="n">
        <x:f>K246*G246</x:f>
        <x:v>0</x:v>
      </x:c>
      <x:c r="M246" s="50"/>
      <x:c r="N246" s="66"/>
      <x:c r="O246" s="50"/>
    </x:row>
    <x:row r="247">
      <x:c r="A247" s="50"/>
      <x:c r="B247" s="64"/>
      <x:c r="C247" s="50"/>
      <x:c r="D247" s="50"/>
      <x:c r="E247" s="50" t="str">
        <x:f>IFERROR(VLOOKUP(D247,Inventory!$B:$D,2,FALSE),"")</x:f>
      </x:c>
      <x:c r="F247" s="50" t="str">
        <x:f>IFERROR(VLOOKUP(D247,Inventory!$B:$D,3,FALSE),"")</x:f>
      </x:c>
      <x:c r="G247" s="65" t="n">
        <x:v>0</x:v>
      </x:c>
      <x:c r="H247" s="66" t="n">
        <x:v>0</x:v>
      </x:c>
      <x:c r="I247" s="66" t="n">
        <x:f>G247*H247</x:f>
        <x:v>0</x:v>
      </x:c>
      <x:c r="J247" s="66" t="str">
        <x:f>IFERROR(VLOOKUP(D247,Inventory!$B:$F,4,FALSE),0)</x:f>
      </x:c>
      <x:c r="K247" s="66" t="n">
        <x:f>H247-J247</x:f>
        <x:v>0</x:v>
      </x:c>
      <x:c r="L247" s="66" t="n">
        <x:f>K247*G247</x:f>
        <x:v>0</x:v>
      </x:c>
      <x:c r="M247" s="50"/>
      <x:c r="N247" s="66"/>
      <x:c r="O247" s="50"/>
    </x:row>
    <x:row r="248">
      <x:c r="A248" s="50"/>
      <x:c r="B248" s="64"/>
      <x:c r="C248" s="50"/>
      <x:c r="D248" s="50"/>
      <x:c r="E248" s="50" t="str">
        <x:f>IFERROR(VLOOKUP(D248,Inventory!$B:$D,2,FALSE),"")</x:f>
      </x:c>
      <x:c r="F248" s="50" t="str">
        <x:f>IFERROR(VLOOKUP(D248,Inventory!$B:$D,3,FALSE),"")</x:f>
      </x:c>
      <x:c r="G248" s="65" t="n">
        <x:v>0</x:v>
      </x:c>
      <x:c r="H248" s="66" t="n">
        <x:v>0</x:v>
      </x:c>
      <x:c r="I248" s="66" t="n">
        <x:f>G248*H248</x:f>
        <x:v>0</x:v>
      </x:c>
      <x:c r="J248" s="66" t="str">
        <x:f>IFERROR(VLOOKUP(D248,Inventory!$B:$F,4,FALSE),0)</x:f>
      </x:c>
      <x:c r="K248" s="66" t="n">
        <x:f>H248-J248</x:f>
        <x:v>0</x:v>
      </x:c>
      <x:c r="L248" s="66" t="n">
        <x:f>K248*G248</x:f>
        <x:v>0</x:v>
      </x:c>
      <x:c r="M248" s="50"/>
      <x:c r="N248" s="66"/>
      <x:c r="O248" s="50"/>
    </x:row>
    <x:row r="249">
      <x:c r="A249" s="50"/>
      <x:c r="B249" s="64"/>
      <x:c r="C249" s="50"/>
      <x:c r="D249" s="50"/>
      <x:c r="E249" s="50" t="str">
        <x:f>IFERROR(VLOOKUP(D249,Inventory!$B:$D,2,FALSE),"")</x:f>
      </x:c>
      <x:c r="F249" s="50" t="str">
        <x:f>IFERROR(VLOOKUP(D249,Inventory!$B:$D,3,FALSE),"")</x:f>
      </x:c>
      <x:c r="G249" s="65" t="n">
        <x:v>0</x:v>
      </x:c>
      <x:c r="H249" s="66" t="n">
        <x:v>0</x:v>
      </x:c>
      <x:c r="I249" s="66" t="n">
        <x:f>G249*H249</x:f>
        <x:v>0</x:v>
      </x:c>
      <x:c r="J249" s="66" t="str">
        <x:f>IFERROR(VLOOKUP(D249,Inventory!$B:$F,4,FALSE),0)</x:f>
      </x:c>
      <x:c r="K249" s="66" t="n">
        <x:f>H249-J249</x:f>
        <x:v>0</x:v>
      </x:c>
      <x:c r="L249" s="66" t="n">
        <x:f>K249*G249</x:f>
        <x:v>0</x:v>
      </x:c>
      <x:c r="M249" s="50"/>
      <x:c r="N249" s="66"/>
      <x:c r="O249" s="50"/>
    </x:row>
    <x:row r="250">
      <x:c r="A250" s="50"/>
      <x:c r="B250" s="64"/>
      <x:c r="C250" s="50"/>
      <x:c r="D250" s="50"/>
      <x:c r="E250" s="50" t="str">
        <x:f>IFERROR(VLOOKUP(D250,Inventory!$B:$D,2,FALSE),"")</x:f>
      </x:c>
      <x:c r="F250" s="50" t="str">
        <x:f>IFERROR(VLOOKUP(D250,Inventory!$B:$D,3,FALSE),"")</x:f>
      </x:c>
      <x:c r="G250" s="65" t="n">
        <x:v>0</x:v>
      </x:c>
      <x:c r="H250" s="66" t="n">
        <x:v>0</x:v>
      </x:c>
      <x:c r="I250" s="66" t="n">
        <x:f>G250*H250</x:f>
        <x:v>0</x:v>
      </x:c>
      <x:c r="J250" s="66" t="str">
        <x:f>IFERROR(VLOOKUP(D250,Inventory!$B:$F,4,FALSE),0)</x:f>
      </x:c>
      <x:c r="K250" s="66" t="n">
        <x:f>H250-J250</x:f>
        <x:v>0</x:v>
      </x:c>
      <x:c r="L250" s="66" t="n">
        <x:f>K250*G250</x:f>
        <x:v>0</x:v>
      </x:c>
      <x:c r="M250" s="50"/>
      <x:c r="N250" s="66"/>
      <x:c r="O250" s="50"/>
    </x:row>
    <x:row r="251">
      <x:c r="A251" s="50"/>
      <x:c r="B251" s="64"/>
      <x:c r="C251" s="50"/>
      <x:c r="D251" s="50"/>
      <x:c r="E251" s="50" t="str">
        <x:f>IFERROR(VLOOKUP(D251,Inventory!$B:$D,2,FALSE),"")</x:f>
      </x:c>
      <x:c r="F251" s="50" t="str">
        <x:f>IFERROR(VLOOKUP(D251,Inventory!$B:$D,3,FALSE),"")</x:f>
      </x:c>
      <x:c r="G251" s="65" t="n">
        <x:v>0</x:v>
      </x:c>
      <x:c r="H251" s="66" t="n">
        <x:v>0</x:v>
      </x:c>
      <x:c r="I251" s="66" t="n">
        <x:f>G251*H251</x:f>
        <x:v>0</x:v>
      </x:c>
      <x:c r="J251" s="66" t="str">
        <x:f>IFERROR(VLOOKUP(D251,Inventory!$B:$F,4,FALSE),0)</x:f>
      </x:c>
      <x:c r="K251" s="66" t="n">
        <x:f>H251-J251</x:f>
        <x:v>0</x:v>
      </x:c>
      <x:c r="L251" s="66" t="n">
        <x:f>K251*G251</x:f>
        <x:v>0</x:v>
      </x:c>
      <x:c r="M251" s="50"/>
      <x:c r="N251" s="66"/>
      <x:c r="O251" s="50"/>
    </x:row>
    <x:row r="252">
      <x:c r="A252" s="50"/>
      <x:c r="B252" s="64"/>
      <x:c r="C252" s="50"/>
      <x:c r="D252" s="50"/>
      <x:c r="E252" s="50" t="str">
        <x:f>IFERROR(VLOOKUP(D252,Inventory!$B:$D,2,FALSE),"")</x:f>
      </x:c>
      <x:c r="F252" s="50" t="str">
        <x:f>IFERROR(VLOOKUP(D252,Inventory!$B:$D,3,FALSE),"")</x:f>
      </x:c>
      <x:c r="G252" s="65" t="n">
        <x:v>0</x:v>
      </x:c>
      <x:c r="H252" s="66" t="n">
        <x:v>0</x:v>
      </x:c>
      <x:c r="I252" s="66" t="n">
        <x:f>G252*H252</x:f>
        <x:v>0</x:v>
      </x:c>
      <x:c r="J252" s="66" t="str">
        <x:f>IFERROR(VLOOKUP(D252,Inventory!$B:$F,4,FALSE),0)</x:f>
      </x:c>
      <x:c r="K252" s="66" t="n">
        <x:f>H252-J252</x:f>
        <x:v>0</x:v>
      </x:c>
      <x:c r="L252" s="66" t="n">
        <x:f>K252*G252</x:f>
        <x:v>0</x:v>
      </x:c>
      <x:c r="M252" s="50"/>
      <x:c r="N252" s="66"/>
      <x:c r="O252" s="50"/>
    </x:row>
    <x:row r="253">
      <x:c r="A253" s="50"/>
      <x:c r="B253" s="64"/>
      <x:c r="C253" s="50"/>
      <x:c r="D253" s="50"/>
      <x:c r="E253" s="50" t="str">
        <x:f>IFERROR(VLOOKUP(D253,Inventory!$B:$D,2,FALSE),"")</x:f>
      </x:c>
      <x:c r="F253" s="50" t="str">
        <x:f>IFERROR(VLOOKUP(D253,Inventory!$B:$D,3,FALSE),"")</x:f>
      </x:c>
      <x:c r="G253" s="65" t="n">
        <x:v>0</x:v>
      </x:c>
      <x:c r="H253" s="66" t="n">
        <x:v>0</x:v>
      </x:c>
      <x:c r="I253" s="66" t="n">
        <x:f>G253*H253</x:f>
        <x:v>0</x:v>
      </x:c>
      <x:c r="J253" s="66" t="str">
        <x:f>IFERROR(VLOOKUP(D253,Inventory!$B:$F,4,FALSE),0)</x:f>
      </x:c>
      <x:c r="K253" s="66" t="n">
        <x:f>H253-J253</x:f>
        <x:v>0</x:v>
      </x:c>
      <x:c r="L253" s="66" t="n">
        <x:f>K253*G253</x:f>
        <x:v>0</x:v>
      </x:c>
      <x:c r="M253" s="50"/>
      <x:c r="N253" s="66"/>
      <x:c r="O253" s="50"/>
    </x:row>
    <x:row r="254">
      <x:c r="A254" s="50"/>
      <x:c r="B254" s="64"/>
      <x:c r="C254" s="50"/>
      <x:c r="D254" s="50"/>
      <x:c r="E254" s="50" t="str">
        <x:f>IFERROR(VLOOKUP(D254,Inventory!$B:$D,2,FALSE),"")</x:f>
      </x:c>
      <x:c r="F254" s="50" t="str">
        <x:f>IFERROR(VLOOKUP(D254,Inventory!$B:$D,3,FALSE),"")</x:f>
      </x:c>
      <x:c r="G254" s="65" t="n">
        <x:v>0</x:v>
      </x:c>
      <x:c r="H254" s="66" t="n">
        <x:v>0</x:v>
      </x:c>
      <x:c r="I254" s="66" t="n">
        <x:f>G254*H254</x:f>
        <x:v>0</x:v>
      </x:c>
      <x:c r="J254" s="66" t="str">
        <x:f>IFERROR(VLOOKUP(D254,Inventory!$B:$F,4,FALSE),0)</x:f>
      </x:c>
      <x:c r="K254" s="66" t="n">
        <x:f>H254-J254</x:f>
        <x:v>0</x:v>
      </x:c>
      <x:c r="L254" s="66" t="n">
        <x:f>K254*G254</x:f>
        <x:v>0</x:v>
      </x:c>
      <x:c r="M254" s="50"/>
      <x:c r="N254" s="66"/>
      <x:c r="O254" s="50"/>
    </x:row>
    <x:row r="255">
      <x:c r="A255" s="50"/>
      <x:c r="B255" s="64"/>
      <x:c r="C255" s="50"/>
      <x:c r="D255" s="50"/>
      <x:c r="E255" s="50" t="str">
        <x:f>IFERROR(VLOOKUP(D255,Inventory!$B:$D,2,FALSE),"")</x:f>
      </x:c>
      <x:c r="F255" s="50" t="str">
        <x:f>IFERROR(VLOOKUP(D255,Inventory!$B:$D,3,FALSE),"")</x:f>
      </x:c>
      <x:c r="G255" s="65" t="n">
        <x:v>0</x:v>
      </x:c>
      <x:c r="H255" s="66" t="n">
        <x:v>0</x:v>
      </x:c>
      <x:c r="I255" s="66" t="n">
        <x:f>G255*H255</x:f>
        <x:v>0</x:v>
      </x:c>
      <x:c r="J255" s="66" t="str">
        <x:f>IFERROR(VLOOKUP(D255,Inventory!$B:$F,4,FALSE),0)</x:f>
      </x:c>
      <x:c r="K255" s="66" t="n">
        <x:f>H255-J255</x:f>
        <x:v>0</x:v>
      </x:c>
      <x:c r="L255" s="66" t="n">
        <x:f>K255*G255</x:f>
        <x:v>0</x:v>
      </x:c>
      <x:c r="M255" s="50"/>
      <x:c r="N255" s="66"/>
      <x:c r="O255" s="50"/>
    </x:row>
    <x:row r="256">
      <x:c r="A256" s="50"/>
      <x:c r="B256" s="64"/>
      <x:c r="C256" s="50"/>
      <x:c r="D256" s="50"/>
      <x:c r="E256" s="50" t="str">
        <x:f>IFERROR(VLOOKUP(D256,Inventory!$B:$D,2,FALSE),"")</x:f>
      </x:c>
      <x:c r="F256" s="50" t="str">
        <x:f>IFERROR(VLOOKUP(D256,Inventory!$B:$D,3,FALSE),"")</x:f>
      </x:c>
      <x:c r="G256" s="65" t="n">
        <x:v>0</x:v>
      </x:c>
      <x:c r="H256" s="66" t="n">
        <x:v>0</x:v>
      </x:c>
      <x:c r="I256" s="66" t="n">
        <x:f>G256*H256</x:f>
        <x:v>0</x:v>
      </x:c>
      <x:c r="J256" s="66" t="str">
        <x:f>IFERROR(VLOOKUP(D256,Inventory!$B:$F,4,FALSE),0)</x:f>
      </x:c>
      <x:c r="K256" s="66" t="n">
        <x:f>H256-J256</x:f>
        <x:v>0</x:v>
      </x:c>
      <x:c r="L256" s="66" t="n">
        <x:f>K256*G256</x:f>
        <x:v>0</x:v>
      </x:c>
      <x:c r="M256" s="50"/>
      <x:c r="N256" s="66"/>
      <x:c r="O256" s="50"/>
    </x:row>
    <x:row r="257">
      <x:c r="A257" s="50"/>
      <x:c r="B257" s="64"/>
      <x:c r="C257" s="50"/>
      <x:c r="D257" s="50"/>
      <x:c r="E257" s="50" t="str">
        <x:f>IFERROR(VLOOKUP(D257,Inventory!$B:$D,2,FALSE),"")</x:f>
      </x:c>
      <x:c r="F257" s="50" t="str">
        <x:f>IFERROR(VLOOKUP(D257,Inventory!$B:$D,3,FALSE),"")</x:f>
      </x:c>
      <x:c r="G257" s="65" t="n">
        <x:v>0</x:v>
      </x:c>
      <x:c r="H257" s="66" t="n">
        <x:v>0</x:v>
      </x:c>
      <x:c r="I257" s="66" t="n">
        <x:f>G257*H257</x:f>
        <x:v>0</x:v>
      </x:c>
      <x:c r="J257" s="66" t="str">
        <x:f>IFERROR(VLOOKUP(D257,Inventory!$B:$F,4,FALSE),0)</x:f>
      </x:c>
      <x:c r="K257" s="66" t="n">
        <x:f>H257-J257</x:f>
        <x:v>0</x:v>
      </x:c>
      <x:c r="L257" s="66" t="n">
        <x:f>K257*G257</x:f>
        <x:v>0</x:v>
      </x:c>
      <x:c r="M257" s="50"/>
      <x:c r="N257" s="66"/>
      <x:c r="O257" s="50"/>
    </x:row>
    <x:row r="258">
      <x:c r="A258" s="50"/>
      <x:c r="B258" s="64"/>
      <x:c r="C258" s="50"/>
      <x:c r="D258" s="50"/>
      <x:c r="E258" s="50" t="str">
        <x:f>IFERROR(VLOOKUP(D258,Inventory!$B:$D,2,FALSE),"")</x:f>
      </x:c>
      <x:c r="F258" s="50" t="str">
        <x:f>IFERROR(VLOOKUP(D258,Inventory!$B:$D,3,FALSE),"")</x:f>
      </x:c>
      <x:c r="G258" s="65" t="n">
        <x:v>0</x:v>
      </x:c>
      <x:c r="H258" s="66" t="n">
        <x:v>0</x:v>
      </x:c>
      <x:c r="I258" s="66" t="n">
        <x:f>G258*H258</x:f>
        <x:v>0</x:v>
      </x:c>
      <x:c r="J258" s="66" t="str">
        <x:f>IFERROR(VLOOKUP(D258,Inventory!$B:$F,4,FALSE),0)</x:f>
      </x:c>
      <x:c r="K258" s="66" t="n">
        <x:f>H258-J258</x:f>
        <x:v>0</x:v>
      </x:c>
      <x:c r="L258" s="66" t="n">
        <x:f>K258*G258</x:f>
        <x:v>0</x:v>
      </x:c>
      <x:c r="M258" s="50"/>
      <x:c r="N258" s="66"/>
      <x:c r="O258" s="50"/>
    </x:row>
    <x:row r="259">
      <x:c r="A259" s="50"/>
      <x:c r="B259" s="64"/>
      <x:c r="C259" s="50"/>
      <x:c r="D259" s="50"/>
      <x:c r="E259" s="50" t="str">
        <x:f>IFERROR(VLOOKUP(D259,Inventory!$B:$D,2,FALSE),"")</x:f>
      </x:c>
      <x:c r="F259" s="50" t="str">
        <x:f>IFERROR(VLOOKUP(D259,Inventory!$B:$D,3,FALSE),"")</x:f>
      </x:c>
      <x:c r="G259" s="65" t="n">
        <x:v>0</x:v>
      </x:c>
      <x:c r="H259" s="66" t="n">
        <x:v>0</x:v>
      </x:c>
      <x:c r="I259" s="66" t="n">
        <x:f>G259*H259</x:f>
        <x:v>0</x:v>
      </x:c>
      <x:c r="J259" s="66" t="str">
        <x:f>IFERROR(VLOOKUP(D259,Inventory!$B:$F,4,FALSE),0)</x:f>
      </x:c>
      <x:c r="K259" s="66" t="n">
        <x:f>H259-J259</x:f>
        <x:v>0</x:v>
      </x:c>
      <x:c r="L259" s="66" t="n">
        <x:f>K259*G259</x:f>
        <x:v>0</x:v>
      </x:c>
      <x:c r="M259" s="50"/>
      <x:c r="N259" s="66"/>
      <x:c r="O259" s="50"/>
    </x:row>
    <x:row r="260">
      <x:c r="A260" s="50"/>
      <x:c r="B260" s="64"/>
      <x:c r="C260" s="50"/>
      <x:c r="D260" s="50"/>
      <x:c r="E260" s="50" t="str">
        <x:f>IFERROR(VLOOKUP(D260,Inventory!$B:$D,2,FALSE),"")</x:f>
      </x:c>
      <x:c r="F260" s="50" t="str">
        <x:f>IFERROR(VLOOKUP(D260,Inventory!$B:$D,3,FALSE),"")</x:f>
      </x:c>
      <x:c r="G260" s="65" t="n">
        <x:v>0</x:v>
      </x:c>
      <x:c r="H260" s="66" t="n">
        <x:v>0</x:v>
      </x:c>
      <x:c r="I260" s="66" t="n">
        <x:f>G260*H260</x:f>
        <x:v>0</x:v>
      </x:c>
      <x:c r="J260" s="66" t="str">
        <x:f>IFERROR(VLOOKUP(D260,Inventory!$B:$F,4,FALSE),0)</x:f>
      </x:c>
      <x:c r="K260" s="66" t="n">
        <x:f>H260-J260</x:f>
        <x:v>0</x:v>
      </x:c>
      <x:c r="L260" s="66" t="n">
        <x:f>K260*G260</x:f>
        <x:v>0</x:v>
      </x:c>
      <x:c r="M260" s="50"/>
      <x:c r="N260" s="66"/>
      <x:c r="O260" s="50"/>
    </x:row>
    <x:row r="261">
      <x:c r="A261" s="50"/>
      <x:c r="B261" s="64"/>
      <x:c r="C261" s="50"/>
      <x:c r="D261" s="50"/>
      <x:c r="E261" s="50" t="str">
        <x:f>IFERROR(VLOOKUP(D261,Inventory!$B:$D,2,FALSE),"")</x:f>
      </x:c>
      <x:c r="F261" s="50" t="str">
        <x:f>IFERROR(VLOOKUP(D261,Inventory!$B:$D,3,FALSE),"")</x:f>
      </x:c>
      <x:c r="G261" s="65" t="n">
        <x:v>0</x:v>
      </x:c>
      <x:c r="H261" s="66" t="n">
        <x:v>0</x:v>
      </x:c>
      <x:c r="I261" s="66" t="n">
        <x:f>G261*H261</x:f>
        <x:v>0</x:v>
      </x:c>
      <x:c r="J261" s="66" t="str">
        <x:f>IFERROR(VLOOKUP(D261,Inventory!$B:$F,4,FALSE),0)</x:f>
      </x:c>
      <x:c r="K261" s="66" t="n">
        <x:f>H261-J261</x:f>
        <x:v>0</x:v>
      </x:c>
      <x:c r="L261" s="66" t="n">
        <x:f>K261*G261</x:f>
        <x:v>0</x:v>
      </x:c>
      <x:c r="M261" s="50"/>
      <x:c r="N261" s="66"/>
      <x:c r="O261" s="50"/>
    </x:row>
    <x:row r="262">
      <x:c r="A262" s="50"/>
      <x:c r="B262" s="64"/>
      <x:c r="C262" s="50"/>
      <x:c r="D262" s="50"/>
      <x:c r="E262" s="50" t="str">
        <x:f>IFERROR(VLOOKUP(D262,Inventory!$B:$D,2,FALSE),"")</x:f>
      </x:c>
      <x:c r="F262" s="50" t="str">
        <x:f>IFERROR(VLOOKUP(D262,Inventory!$B:$D,3,FALSE),"")</x:f>
      </x:c>
      <x:c r="G262" s="65" t="n">
        <x:v>0</x:v>
      </x:c>
      <x:c r="H262" s="66" t="n">
        <x:v>0</x:v>
      </x:c>
      <x:c r="I262" s="66" t="n">
        <x:f>G262*H262</x:f>
        <x:v>0</x:v>
      </x:c>
      <x:c r="J262" s="66" t="str">
        <x:f>IFERROR(VLOOKUP(D262,Inventory!$B:$F,4,FALSE),0)</x:f>
      </x:c>
      <x:c r="K262" s="66" t="n">
        <x:f>H262-J262</x:f>
        <x:v>0</x:v>
      </x:c>
      <x:c r="L262" s="66" t="n">
        <x:f>K262*G262</x:f>
        <x:v>0</x:v>
      </x:c>
      <x:c r="M262" s="50"/>
      <x:c r="N262" s="66"/>
      <x:c r="O262" s="50"/>
    </x:row>
    <x:row r="263">
      <x:c r="A263" s="50"/>
      <x:c r="B263" s="64"/>
      <x:c r="C263" s="50"/>
      <x:c r="D263" s="50"/>
      <x:c r="E263" s="50" t="str">
        <x:f>IFERROR(VLOOKUP(D263,Inventory!$B:$D,2,FALSE),"")</x:f>
      </x:c>
      <x:c r="F263" s="50" t="str">
        <x:f>IFERROR(VLOOKUP(D263,Inventory!$B:$D,3,FALSE),"")</x:f>
      </x:c>
      <x:c r="G263" s="65" t="n">
        <x:v>0</x:v>
      </x:c>
      <x:c r="H263" s="66" t="n">
        <x:v>0</x:v>
      </x:c>
      <x:c r="I263" s="66" t="n">
        <x:f>G263*H263</x:f>
        <x:v>0</x:v>
      </x:c>
      <x:c r="J263" s="66" t="str">
        <x:f>IFERROR(VLOOKUP(D263,Inventory!$B:$F,4,FALSE),0)</x:f>
      </x:c>
      <x:c r="K263" s="66" t="n">
        <x:f>H263-J263</x:f>
        <x:v>0</x:v>
      </x:c>
      <x:c r="L263" s="66" t="n">
        <x:f>K263*G263</x:f>
        <x:v>0</x:v>
      </x:c>
      <x:c r="M263" s="50"/>
      <x:c r="N263" s="66"/>
      <x:c r="O263" s="50"/>
    </x:row>
    <x:row r="264">
      <x:c r="A264" s="50"/>
      <x:c r="B264" s="64"/>
      <x:c r="C264" s="50"/>
      <x:c r="D264" s="50"/>
      <x:c r="E264" s="50" t="str">
        <x:f>IFERROR(VLOOKUP(D264,Inventory!$B:$D,2,FALSE),"")</x:f>
      </x:c>
      <x:c r="F264" s="50" t="str">
        <x:f>IFERROR(VLOOKUP(D264,Inventory!$B:$D,3,FALSE),"")</x:f>
      </x:c>
      <x:c r="G264" s="65" t="n">
        <x:v>0</x:v>
      </x:c>
      <x:c r="H264" s="66" t="n">
        <x:v>0</x:v>
      </x:c>
      <x:c r="I264" s="66" t="n">
        <x:f>G264*H264</x:f>
        <x:v>0</x:v>
      </x:c>
      <x:c r="J264" s="66" t="str">
        <x:f>IFERROR(VLOOKUP(D264,Inventory!$B:$F,4,FALSE),0)</x:f>
      </x:c>
      <x:c r="K264" s="66" t="n">
        <x:f>H264-J264</x:f>
        <x:v>0</x:v>
      </x:c>
      <x:c r="L264" s="66" t="n">
        <x:f>K264*G264</x:f>
        <x:v>0</x:v>
      </x:c>
      <x:c r="M264" s="50"/>
      <x:c r="N264" s="66"/>
      <x:c r="O264" s="50"/>
    </x:row>
    <x:row r="265">
      <x:c r="A265" s="50"/>
      <x:c r="B265" s="64"/>
      <x:c r="C265" s="50"/>
      <x:c r="D265" s="50"/>
      <x:c r="E265" s="50" t="str">
        <x:f>IFERROR(VLOOKUP(D265,Inventory!$B:$D,2,FALSE),"")</x:f>
      </x:c>
      <x:c r="F265" s="50" t="str">
        <x:f>IFERROR(VLOOKUP(D265,Inventory!$B:$D,3,FALSE),"")</x:f>
      </x:c>
      <x:c r="G265" s="65" t="n">
        <x:v>0</x:v>
      </x:c>
      <x:c r="H265" s="66" t="n">
        <x:v>0</x:v>
      </x:c>
      <x:c r="I265" s="66" t="n">
        <x:f>G265*H265</x:f>
        <x:v>0</x:v>
      </x:c>
      <x:c r="J265" s="66" t="str">
        <x:f>IFERROR(VLOOKUP(D265,Inventory!$B:$F,4,FALSE),0)</x:f>
      </x:c>
      <x:c r="K265" s="66" t="n">
        <x:f>H265-J265</x:f>
        <x:v>0</x:v>
      </x:c>
      <x:c r="L265" s="66" t="n">
        <x:f>K265*G265</x:f>
        <x:v>0</x:v>
      </x:c>
      <x:c r="M265" s="50"/>
      <x:c r="N265" s="66"/>
      <x:c r="O265" s="50"/>
    </x:row>
    <x:row r="266">
      <x:c r="A266" s="50"/>
      <x:c r="B266" s="64"/>
      <x:c r="C266" s="50"/>
      <x:c r="D266" s="50"/>
      <x:c r="E266" s="50" t="str">
        <x:f>IFERROR(VLOOKUP(D266,Inventory!$B:$D,2,FALSE),"")</x:f>
      </x:c>
      <x:c r="F266" s="50" t="str">
        <x:f>IFERROR(VLOOKUP(D266,Inventory!$B:$D,3,FALSE),"")</x:f>
      </x:c>
      <x:c r="G266" s="65" t="n">
        <x:v>0</x:v>
      </x:c>
      <x:c r="H266" s="66" t="n">
        <x:v>0</x:v>
      </x:c>
      <x:c r="I266" s="66" t="n">
        <x:f>G266*H266</x:f>
        <x:v>0</x:v>
      </x:c>
      <x:c r="J266" s="66" t="str">
        <x:f>IFERROR(VLOOKUP(D266,Inventory!$B:$F,4,FALSE),0)</x:f>
      </x:c>
      <x:c r="K266" s="66" t="n">
        <x:f>H266-J266</x:f>
        <x:v>0</x:v>
      </x:c>
      <x:c r="L266" s="66" t="n">
        <x:f>K266*G266</x:f>
        <x:v>0</x:v>
      </x:c>
      <x:c r="M266" s="50"/>
      <x:c r="N266" s="66"/>
      <x:c r="O266" s="50"/>
    </x:row>
    <x:row r="267">
      <x:c r="A267" s="50"/>
      <x:c r="B267" s="64"/>
      <x:c r="C267" s="50"/>
      <x:c r="D267" s="50"/>
      <x:c r="E267" s="50" t="str">
        <x:f>IFERROR(VLOOKUP(D267,Inventory!$B:$D,2,FALSE),"")</x:f>
      </x:c>
      <x:c r="F267" s="50" t="str">
        <x:f>IFERROR(VLOOKUP(D267,Inventory!$B:$D,3,FALSE),"")</x:f>
      </x:c>
      <x:c r="G267" s="65" t="n">
        <x:v>0</x:v>
      </x:c>
      <x:c r="H267" s="66" t="n">
        <x:v>0</x:v>
      </x:c>
      <x:c r="I267" s="66" t="n">
        <x:f>G267*H267</x:f>
        <x:v>0</x:v>
      </x:c>
      <x:c r="J267" s="66" t="str">
        <x:f>IFERROR(VLOOKUP(D267,Inventory!$B:$F,4,FALSE),0)</x:f>
      </x:c>
      <x:c r="K267" s="66" t="n">
        <x:f>H267-J267</x:f>
        <x:v>0</x:v>
      </x:c>
      <x:c r="L267" s="66" t="n">
        <x:f>K267*G267</x:f>
        <x:v>0</x:v>
      </x:c>
      <x:c r="M267" s="50"/>
      <x:c r="N267" s="66"/>
      <x:c r="O267" s="50"/>
    </x:row>
    <x:row r="268">
      <x:c r="A268" s="50"/>
      <x:c r="B268" s="64"/>
      <x:c r="C268" s="50"/>
      <x:c r="D268" s="50"/>
      <x:c r="E268" s="50" t="str">
        <x:f>IFERROR(VLOOKUP(D268,Inventory!$B:$D,2,FALSE),"")</x:f>
      </x:c>
      <x:c r="F268" s="50" t="str">
        <x:f>IFERROR(VLOOKUP(D268,Inventory!$B:$D,3,FALSE),"")</x:f>
      </x:c>
      <x:c r="G268" s="65" t="n">
        <x:v>0</x:v>
      </x:c>
      <x:c r="H268" s="66" t="n">
        <x:v>0</x:v>
      </x:c>
      <x:c r="I268" s="66" t="n">
        <x:f>G268*H268</x:f>
        <x:v>0</x:v>
      </x:c>
      <x:c r="J268" s="66" t="str">
        <x:f>IFERROR(VLOOKUP(D268,Inventory!$B:$F,4,FALSE),0)</x:f>
      </x:c>
      <x:c r="K268" s="66" t="n">
        <x:f>H268-J268</x:f>
        <x:v>0</x:v>
      </x:c>
      <x:c r="L268" s="66" t="n">
        <x:f>K268*G268</x:f>
        <x:v>0</x:v>
      </x:c>
      <x:c r="M268" s="50"/>
      <x:c r="N268" s="66"/>
      <x:c r="O268" s="50"/>
    </x:row>
    <x:row r="269">
      <x:c r="A269" s="50"/>
      <x:c r="B269" s="64"/>
      <x:c r="C269" s="50"/>
      <x:c r="D269" s="50"/>
      <x:c r="E269" s="50" t="str">
        <x:f>IFERROR(VLOOKUP(D269,Inventory!$B:$D,2,FALSE),"")</x:f>
      </x:c>
      <x:c r="F269" s="50" t="str">
        <x:f>IFERROR(VLOOKUP(D269,Inventory!$B:$D,3,FALSE),"")</x:f>
      </x:c>
      <x:c r="G269" s="65" t="n">
        <x:v>0</x:v>
      </x:c>
      <x:c r="H269" s="66" t="n">
        <x:v>0</x:v>
      </x:c>
      <x:c r="I269" s="66" t="n">
        <x:f>G269*H269</x:f>
        <x:v>0</x:v>
      </x:c>
      <x:c r="J269" s="66" t="str">
        <x:f>IFERROR(VLOOKUP(D269,Inventory!$B:$F,4,FALSE),0)</x:f>
      </x:c>
      <x:c r="K269" s="66" t="n">
        <x:f>H269-J269</x:f>
        <x:v>0</x:v>
      </x:c>
      <x:c r="L269" s="66" t="n">
        <x:f>K269*G269</x:f>
        <x:v>0</x:v>
      </x:c>
      <x:c r="M269" s="50"/>
      <x:c r="N269" s="66"/>
      <x:c r="O269" s="50"/>
    </x:row>
    <x:row r="270">
      <x:c r="A270" s="50"/>
      <x:c r="B270" s="64"/>
      <x:c r="C270" s="50"/>
      <x:c r="D270" s="50"/>
      <x:c r="E270" s="50" t="str">
        <x:f>IFERROR(VLOOKUP(D270,Inventory!$B:$D,2,FALSE),"")</x:f>
      </x:c>
      <x:c r="F270" s="50" t="str">
        <x:f>IFERROR(VLOOKUP(D270,Inventory!$B:$D,3,FALSE),"")</x:f>
      </x:c>
      <x:c r="G270" s="65" t="n">
        <x:v>0</x:v>
      </x:c>
      <x:c r="H270" s="66" t="n">
        <x:v>0</x:v>
      </x:c>
      <x:c r="I270" s="66" t="n">
        <x:f>G270*H270</x:f>
        <x:v>0</x:v>
      </x:c>
      <x:c r="J270" s="66" t="str">
        <x:f>IFERROR(VLOOKUP(D270,Inventory!$B:$F,4,FALSE),0)</x:f>
      </x:c>
      <x:c r="K270" s="66" t="n">
        <x:f>H270-J270</x:f>
        <x:v>0</x:v>
      </x:c>
      <x:c r="L270" s="66" t="n">
        <x:f>K270*G270</x:f>
        <x:v>0</x:v>
      </x:c>
      <x:c r="M270" s="50"/>
      <x:c r="N270" s="66"/>
      <x:c r="O270" s="50"/>
    </x:row>
    <x:row r="271">
      <x:c r="A271" s="50"/>
      <x:c r="B271" s="64"/>
      <x:c r="C271" s="50"/>
      <x:c r="D271" s="50"/>
      <x:c r="E271" s="50" t="str">
        <x:f>IFERROR(VLOOKUP(D271,Inventory!$B:$D,2,FALSE),"")</x:f>
      </x:c>
      <x:c r="F271" s="50" t="str">
        <x:f>IFERROR(VLOOKUP(D271,Inventory!$B:$D,3,FALSE),"")</x:f>
      </x:c>
      <x:c r="G271" s="65" t="n">
        <x:v>0</x:v>
      </x:c>
      <x:c r="H271" s="66" t="n">
        <x:v>0</x:v>
      </x:c>
      <x:c r="I271" s="66" t="n">
        <x:f>G271*H271</x:f>
        <x:v>0</x:v>
      </x:c>
      <x:c r="J271" s="66" t="str">
        <x:f>IFERROR(VLOOKUP(D271,Inventory!$B:$F,4,FALSE),0)</x:f>
      </x:c>
      <x:c r="K271" s="66" t="n">
        <x:f>H271-J271</x:f>
        <x:v>0</x:v>
      </x:c>
      <x:c r="L271" s="66" t="n">
        <x:f>K271*G271</x:f>
        <x:v>0</x:v>
      </x:c>
      <x:c r="M271" s="50"/>
      <x:c r="N271" s="66"/>
      <x:c r="O271" s="50"/>
    </x:row>
    <x:row r="272">
      <x:c r="A272" s="50"/>
      <x:c r="B272" s="64"/>
      <x:c r="C272" s="50"/>
      <x:c r="D272" s="50"/>
      <x:c r="E272" s="50" t="str">
        <x:f>IFERROR(VLOOKUP(D272,Inventory!$B:$D,2,FALSE),"")</x:f>
      </x:c>
      <x:c r="F272" s="50" t="str">
        <x:f>IFERROR(VLOOKUP(D272,Inventory!$B:$D,3,FALSE),"")</x:f>
      </x:c>
      <x:c r="G272" s="65" t="n">
        <x:v>0</x:v>
      </x:c>
      <x:c r="H272" s="66" t="n">
        <x:v>0</x:v>
      </x:c>
      <x:c r="I272" s="66" t="n">
        <x:f>G272*H272</x:f>
        <x:v>0</x:v>
      </x:c>
      <x:c r="J272" s="66" t="str">
        <x:f>IFERROR(VLOOKUP(D272,Inventory!$B:$F,4,FALSE),0)</x:f>
      </x:c>
      <x:c r="K272" s="66" t="n">
        <x:f>H272-J272</x:f>
        <x:v>0</x:v>
      </x:c>
      <x:c r="L272" s="66" t="n">
        <x:f>K272*G272</x:f>
        <x:v>0</x:v>
      </x:c>
      <x:c r="M272" s="50"/>
      <x:c r="N272" s="66"/>
      <x:c r="O272" s="50"/>
    </x:row>
    <x:row r="273">
      <x:c r="A273" s="50"/>
      <x:c r="B273" s="64"/>
      <x:c r="C273" s="50"/>
      <x:c r="D273" s="50"/>
      <x:c r="E273" s="50" t="str">
        <x:f>IFERROR(VLOOKUP(D273,Inventory!$B:$D,2,FALSE),"")</x:f>
      </x:c>
      <x:c r="F273" s="50" t="str">
        <x:f>IFERROR(VLOOKUP(D273,Inventory!$B:$D,3,FALSE),"")</x:f>
      </x:c>
      <x:c r="G273" s="65" t="n">
        <x:v>0</x:v>
      </x:c>
      <x:c r="H273" s="66" t="n">
        <x:v>0</x:v>
      </x:c>
      <x:c r="I273" s="66" t="n">
        <x:f>G273*H273</x:f>
        <x:v>0</x:v>
      </x:c>
      <x:c r="J273" s="66" t="str">
        <x:f>IFERROR(VLOOKUP(D273,Inventory!$B:$F,4,FALSE),0)</x:f>
      </x:c>
      <x:c r="K273" s="66" t="n">
        <x:f>H273-J273</x:f>
        <x:v>0</x:v>
      </x:c>
      <x:c r="L273" s="66" t="n">
        <x:f>K273*G273</x:f>
        <x:v>0</x:v>
      </x:c>
      <x:c r="M273" s="50"/>
      <x:c r="N273" s="66"/>
      <x:c r="O273" s="50"/>
    </x:row>
    <x:row r="274">
      <x:c r="A274" s="50"/>
      <x:c r="B274" s="64"/>
      <x:c r="C274" s="50"/>
      <x:c r="D274" s="50"/>
      <x:c r="E274" s="50" t="str">
        <x:f>IFERROR(VLOOKUP(D274,Inventory!$B:$D,2,FALSE),"")</x:f>
      </x:c>
      <x:c r="F274" s="50" t="str">
        <x:f>IFERROR(VLOOKUP(D274,Inventory!$B:$D,3,FALSE),"")</x:f>
      </x:c>
      <x:c r="G274" s="65" t="n">
        <x:v>0</x:v>
      </x:c>
      <x:c r="H274" s="66" t="n">
        <x:v>0</x:v>
      </x:c>
      <x:c r="I274" s="66" t="n">
        <x:f>G274*H274</x:f>
        <x:v>0</x:v>
      </x:c>
      <x:c r="J274" s="66" t="str">
        <x:f>IFERROR(VLOOKUP(D274,Inventory!$B:$F,4,FALSE),0)</x:f>
      </x:c>
      <x:c r="K274" s="66" t="n">
        <x:f>H274-J274</x:f>
        <x:v>0</x:v>
      </x:c>
      <x:c r="L274" s="66" t="n">
        <x:f>K274*G274</x:f>
        <x:v>0</x:v>
      </x:c>
      <x:c r="M274" s="50"/>
      <x:c r="N274" s="66"/>
      <x:c r="O274" s="50"/>
    </x:row>
    <x:row r="275">
      <x:c r="A275" s="50"/>
      <x:c r="B275" s="64"/>
      <x:c r="C275" s="50"/>
      <x:c r="D275" s="50"/>
      <x:c r="E275" s="50" t="str">
        <x:f>IFERROR(VLOOKUP(D275,Inventory!$B:$D,2,FALSE),"")</x:f>
      </x:c>
      <x:c r="F275" s="50" t="str">
        <x:f>IFERROR(VLOOKUP(D275,Inventory!$B:$D,3,FALSE),"")</x:f>
      </x:c>
      <x:c r="G275" s="65" t="n">
        <x:v>0</x:v>
      </x:c>
      <x:c r="H275" s="66" t="n">
        <x:v>0</x:v>
      </x:c>
      <x:c r="I275" s="66" t="n">
        <x:f>G275*H275</x:f>
        <x:v>0</x:v>
      </x:c>
      <x:c r="J275" s="66" t="str">
        <x:f>IFERROR(VLOOKUP(D275,Inventory!$B:$F,4,FALSE),0)</x:f>
      </x:c>
      <x:c r="K275" s="66" t="n">
        <x:f>H275-J275</x:f>
        <x:v>0</x:v>
      </x:c>
      <x:c r="L275" s="66" t="n">
        <x:f>K275*G275</x:f>
        <x:v>0</x:v>
      </x:c>
      <x:c r="M275" s="50"/>
      <x:c r="N275" s="66"/>
      <x:c r="O275" s="50"/>
    </x:row>
    <x:row r="276">
      <x:c r="A276" s="50"/>
      <x:c r="B276" s="64"/>
      <x:c r="C276" s="50"/>
      <x:c r="D276" s="50"/>
      <x:c r="E276" s="50" t="str">
        <x:f>IFERROR(VLOOKUP(D276,Inventory!$B:$D,2,FALSE),"")</x:f>
      </x:c>
      <x:c r="F276" s="50" t="str">
        <x:f>IFERROR(VLOOKUP(D276,Inventory!$B:$D,3,FALSE),"")</x:f>
      </x:c>
      <x:c r="G276" s="65" t="n">
        <x:v>0</x:v>
      </x:c>
      <x:c r="H276" s="66" t="n">
        <x:v>0</x:v>
      </x:c>
      <x:c r="I276" s="66" t="n">
        <x:f>G276*H276</x:f>
        <x:v>0</x:v>
      </x:c>
      <x:c r="J276" s="66" t="str">
        <x:f>IFERROR(VLOOKUP(D276,Inventory!$B:$F,4,FALSE),0)</x:f>
      </x:c>
      <x:c r="K276" s="66" t="n">
        <x:f>H276-J276</x:f>
        <x:v>0</x:v>
      </x:c>
      <x:c r="L276" s="66" t="n">
        <x:f>K276*G276</x:f>
        <x:v>0</x:v>
      </x:c>
      <x:c r="M276" s="50"/>
      <x:c r="N276" s="66"/>
      <x:c r="O276" s="50"/>
    </x:row>
    <x:row r="277">
      <x:c r="A277" s="50"/>
      <x:c r="B277" s="64"/>
      <x:c r="C277" s="50"/>
      <x:c r="D277" s="50"/>
      <x:c r="E277" s="50" t="str">
        <x:f>IFERROR(VLOOKUP(D277,Inventory!$B:$D,2,FALSE),"")</x:f>
      </x:c>
      <x:c r="F277" s="50" t="str">
        <x:f>IFERROR(VLOOKUP(D277,Inventory!$B:$D,3,FALSE),"")</x:f>
      </x:c>
      <x:c r="G277" s="65" t="n">
        <x:v>0</x:v>
      </x:c>
      <x:c r="H277" s="66" t="n">
        <x:v>0</x:v>
      </x:c>
      <x:c r="I277" s="66" t="n">
        <x:f>G277*H277</x:f>
        <x:v>0</x:v>
      </x:c>
      <x:c r="J277" s="66" t="str">
        <x:f>IFERROR(VLOOKUP(D277,Inventory!$B:$F,4,FALSE),0)</x:f>
      </x:c>
      <x:c r="K277" s="66" t="n">
        <x:f>H277-J277</x:f>
        <x:v>0</x:v>
      </x:c>
      <x:c r="L277" s="66" t="n">
        <x:f>K277*G277</x:f>
        <x:v>0</x:v>
      </x:c>
      <x:c r="M277" s="50"/>
      <x:c r="N277" s="66"/>
      <x:c r="O277" s="50"/>
    </x:row>
    <x:row r="278">
      <x:c r="A278" s="50"/>
      <x:c r="B278" s="64"/>
      <x:c r="C278" s="50"/>
      <x:c r="D278" s="50"/>
      <x:c r="E278" s="50" t="str">
        <x:f>IFERROR(VLOOKUP(D278,Inventory!$B:$D,2,FALSE),"")</x:f>
      </x:c>
      <x:c r="F278" s="50" t="str">
        <x:f>IFERROR(VLOOKUP(D278,Inventory!$B:$D,3,FALSE),"")</x:f>
      </x:c>
      <x:c r="G278" s="65" t="n">
        <x:v>0</x:v>
      </x:c>
      <x:c r="H278" s="66" t="n">
        <x:v>0</x:v>
      </x:c>
      <x:c r="I278" s="66" t="n">
        <x:f>G278*H278</x:f>
        <x:v>0</x:v>
      </x:c>
      <x:c r="J278" s="66" t="str">
        <x:f>IFERROR(VLOOKUP(D278,Inventory!$B:$F,4,FALSE),0)</x:f>
      </x:c>
      <x:c r="K278" s="66" t="n">
        <x:f>H278-J278</x:f>
        <x:v>0</x:v>
      </x:c>
      <x:c r="L278" s="66" t="n">
        <x:f>K278*G278</x:f>
        <x:v>0</x:v>
      </x:c>
      <x:c r="M278" s="50"/>
      <x:c r="N278" s="66"/>
      <x:c r="O278" s="50"/>
    </x:row>
    <x:row r="279">
      <x:c r="A279" s="50"/>
      <x:c r="B279" s="64"/>
      <x:c r="C279" s="50"/>
      <x:c r="D279" s="50"/>
      <x:c r="E279" s="50" t="str">
        <x:f>IFERROR(VLOOKUP(D279,Inventory!$B:$D,2,FALSE),"")</x:f>
      </x:c>
      <x:c r="F279" s="50" t="str">
        <x:f>IFERROR(VLOOKUP(D279,Inventory!$B:$D,3,FALSE),"")</x:f>
      </x:c>
      <x:c r="G279" s="65" t="n">
        <x:v>0</x:v>
      </x:c>
      <x:c r="H279" s="66" t="n">
        <x:v>0</x:v>
      </x:c>
      <x:c r="I279" s="66" t="n">
        <x:f>G279*H279</x:f>
        <x:v>0</x:v>
      </x:c>
      <x:c r="J279" s="66" t="str">
        <x:f>IFERROR(VLOOKUP(D279,Inventory!$B:$F,4,FALSE),0)</x:f>
      </x:c>
      <x:c r="K279" s="66" t="n">
        <x:f>H279-J279</x:f>
        <x:v>0</x:v>
      </x:c>
      <x:c r="L279" s="66" t="n">
        <x:f>K279*G279</x:f>
        <x:v>0</x:v>
      </x:c>
      <x:c r="M279" s="50"/>
      <x:c r="N279" s="66"/>
      <x:c r="O279" s="50"/>
    </x:row>
    <x:row r="280">
      <x:c r="A280" s="50"/>
      <x:c r="B280" s="64"/>
      <x:c r="C280" s="50"/>
      <x:c r="D280" s="50"/>
      <x:c r="E280" s="50" t="str">
        <x:f>IFERROR(VLOOKUP(D280,Inventory!$B:$D,2,FALSE),"")</x:f>
      </x:c>
      <x:c r="F280" s="50" t="str">
        <x:f>IFERROR(VLOOKUP(D280,Inventory!$B:$D,3,FALSE),"")</x:f>
      </x:c>
      <x:c r="G280" s="65" t="n">
        <x:v>0</x:v>
      </x:c>
      <x:c r="H280" s="66" t="n">
        <x:v>0</x:v>
      </x:c>
      <x:c r="I280" s="66" t="n">
        <x:f>G280*H280</x:f>
        <x:v>0</x:v>
      </x:c>
      <x:c r="J280" s="66" t="str">
        <x:f>IFERROR(VLOOKUP(D280,Inventory!$B:$F,4,FALSE),0)</x:f>
      </x:c>
      <x:c r="K280" s="66" t="n">
        <x:f>H280-J280</x:f>
        <x:v>0</x:v>
      </x:c>
      <x:c r="L280" s="66" t="n">
        <x:f>K280*G280</x:f>
        <x:v>0</x:v>
      </x:c>
      <x:c r="M280" s="50"/>
      <x:c r="N280" s="66"/>
      <x:c r="O280" s="50"/>
    </x:row>
    <x:row r="281">
      <x:c r="A281" s="50"/>
      <x:c r="B281" s="64"/>
      <x:c r="C281" s="50"/>
      <x:c r="D281" s="50"/>
      <x:c r="E281" s="50" t="str">
        <x:f>IFERROR(VLOOKUP(D281,Inventory!$B:$D,2,FALSE),"")</x:f>
      </x:c>
      <x:c r="F281" s="50" t="str">
        <x:f>IFERROR(VLOOKUP(D281,Inventory!$B:$D,3,FALSE),"")</x:f>
      </x:c>
      <x:c r="G281" s="65" t="n">
        <x:v>0</x:v>
      </x:c>
      <x:c r="H281" s="66" t="n">
        <x:v>0</x:v>
      </x:c>
      <x:c r="I281" s="66" t="n">
        <x:f>G281*H281</x:f>
        <x:v>0</x:v>
      </x:c>
      <x:c r="J281" s="66" t="str">
        <x:f>IFERROR(VLOOKUP(D281,Inventory!$B:$F,4,FALSE),0)</x:f>
      </x:c>
      <x:c r="K281" s="66" t="n">
        <x:f>H281-J281</x:f>
        <x:v>0</x:v>
      </x:c>
      <x:c r="L281" s="66" t="n">
        <x:f>K281*G281</x:f>
        <x:v>0</x:v>
      </x:c>
      <x:c r="M281" s="50"/>
      <x:c r="N281" s="66"/>
      <x:c r="O281" s="50"/>
    </x:row>
    <x:row r="282">
      <x:c r="A282" s="50"/>
      <x:c r="B282" s="64"/>
      <x:c r="C282" s="50"/>
      <x:c r="D282" s="50"/>
      <x:c r="E282" s="50" t="str">
        <x:f>IFERROR(VLOOKUP(D282,Inventory!$B:$D,2,FALSE),"")</x:f>
      </x:c>
      <x:c r="F282" s="50" t="str">
        <x:f>IFERROR(VLOOKUP(D282,Inventory!$B:$D,3,FALSE),"")</x:f>
      </x:c>
      <x:c r="G282" s="65" t="n">
        <x:v>0</x:v>
      </x:c>
      <x:c r="H282" s="66" t="n">
        <x:v>0</x:v>
      </x:c>
      <x:c r="I282" s="66" t="n">
        <x:f>G282*H282</x:f>
        <x:v>0</x:v>
      </x:c>
      <x:c r="J282" s="66" t="str">
        <x:f>IFERROR(VLOOKUP(D282,Inventory!$B:$F,4,FALSE),0)</x:f>
      </x:c>
      <x:c r="K282" s="66" t="n">
        <x:f>H282-J282</x:f>
        <x:v>0</x:v>
      </x:c>
      <x:c r="L282" s="66" t="n">
        <x:f>K282*G282</x:f>
        <x:v>0</x:v>
      </x:c>
      <x:c r="M282" s="50"/>
      <x:c r="N282" s="66"/>
      <x:c r="O282" s="50"/>
    </x:row>
    <x:row r="283">
      <x:c r="A283" s="50"/>
      <x:c r="B283" s="64"/>
      <x:c r="C283" s="50"/>
      <x:c r="D283" s="50"/>
      <x:c r="E283" s="50" t="str">
        <x:f>IFERROR(VLOOKUP(D283,Inventory!$B:$D,2,FALSE),"")</x:f>
      </x:c>
      <x:c r="F283" s="50" t="str">
        <x:f>IFERROR(VLOOKUP(D283,Inventory!$B:$D,3,FALSE),"")</x:f>
      </x:c>
      <x:c r="G283" s="65" t="n">
        <x:v>0</x:v>
      </x:c>
      <x:c r="H283" s="66" t="n">
        <x:v>0</x:v>
      </x:c>
      <x:c r="I283" s="66" t="n">
        <x:f>G283*H283</x:f>
        <x:v>0</x:v>
      </x:c>
      <x:c r="J283" s="66" t="str">
        <x:f>IFERROR(VLOOKUP(D283,Inventory!$B:$F,4,FALSE),0)</x:f>
      </x:c>
      <x:c r="K283" s="66" t="n">
        <x:f>H283-J283</x:f>
        <x:v>0</x:v>
      </x:c>
      <x:c r="L283" s="66" t="n">
        <x:f>K283*G283</x:f>
        <x:v>0</x:v>
      </x:c>
      <x:c r="M283" s="50"/>
      <x:c r="N283" s="66"/>
      <x:c r="O283" s="50"/>
    </x:row>
    <x:row r="284">
      <x:c r="A284" s="50"/>
      <x:c r="B284" s="64"/>
      <x:c r="C284" s="50"/>
      <x:c r="D284" s="50"/>
      <x:c r="E284" s="50" t="str">
        <x:f>IFERROR(VLOOKUP(D284,Inventory!$B:$D,2,FALSE),"")</x:f>
      </x:c>
      <x:c r="F284" s="50" t="str">
        <x:f>IFERROR(VLOOKUP(D284,Inventory!$B:$D,3,FALSE),"")</x:f>
      </x:c>
      <x:c r="G284" s="65" t="n">
        <x:v>0</x:v>
      </x:c>
      <x:c r="H284" s="66" t="n">
        <x:v>0</x:v>
      </x:c>
      <x:c r="I284" s="66" t="n">
        <x:f>G284*H284</x:f>
        <x:v>0</x:v>
      </x:c>
      <x:c r="J284" s="66" t="str">
        <x:f>IFERROR(VLOOKUP(D284,Inventory!$B:$F,4,FALSE),0)</x:f>
      </x:c>
      <x:c r="K284" s="66" t="n">
        <x:f>H284-J284</x:f>
        <x:v>0</x:v>
      </x:c>
      <x:c r="L284" s="66" t="n">
        <x:f>K284*G284</x:f>
        <x:v>0</x:v>
      </x:c>
      <x:c r="M284" s="50"/>
      <x:c r="N284" s="66"/>
      <x:c r="O284" s="50"/>
    </x:row>
    <x:row r="285">
      <x:c r="A285" s="50"/>
      <x:c r="B285" s="64"/>
      <x:c r="C285" s="50"/>
      <x:c r="D285" s="50"/>
      <x:c r="E285" s="50" t="str">
        <x:f>IFERROR(VLOOKUP(D285,Inventory!$B:$D,2,FALSE),"")</x:f>
      </x:c>
      <x:c r="F285" s="50" t="str">
        <x:f>IFERROR(VLOOKUP(D285,Inventory!$B:$D,3,FALSE),"")</x:f>
      </x:c>
      <x:c r="G285" s="65" t="n">
        <x:v>0</x:v>
      </x:c>
      <x:c r="H285" s="66" t="n">
        <x:v>0</x:v>
      </x:c>
      <x:c r="I285" s="66" t="n">
        <x:f>G285*H285</x:f>
        <x:v>0</x:v>
      </x:c>
      <x:c r="J285" s="66" t="str">
        <x:f>IFERROR(VLOOKUP(D285,Inventory!$B:$F,4,FALSE),0)</x:f>
      </x:c>
      <x:c r="K285" s="66" t="n">
        <x:f>H285-J285</x:f>
        <x:v>0</x:v>
      </x:c>
      <x:c r="L285" s="66" t="n">
        <x:f>K285*G285</x:f>
        <x:v>0</x:v>
      </x:c>
      <x:c r="M285" s="50"/>
      <x:c r="N285" s="66"/>
      <x:c r="O285" s="50"/>
    </x:row>
    <x:row r="286">
      <x:c r="A286" s="50"/>
      <x:c r="B286" s="64"/>
      <x:c r="C286" s="50"/>
      <x:c r="D286" s="50"/>
      <x:c r="E286" s="50" t="str">
        <x:f>IFERROR(VLOOKUP(D286,Inventory!$B:$D,2,FALSE),"")</x:f>
      </x:c>
      <x:c r="F286" s="50" t="str">
        <x:f>IFERROR(VLOOKUP(D286,Inventory!$B:$D,3,FALSE),"")</x:f>
      </x:c>
      <x:c r="G286" s="65" t="n">
        <x:v>0</x:v>
      </x:c>
      <x:c r="H286" s="66" t="n">
        <x:v>0</x:v>
      </x:c>
      <x:c r="I286" s="66" t="n">
        <x:f>G286*H286</x:f>
        <x:v>0</x:v>
      </x:c>
      <x:c r="J286" s="66" t="str">
        <x:f>IFERROR(VLOOKUP(D286,Inventory!$B:$F,4,FALSE),0)</x:f>
      </x:c>
      <x:c r="K286" s="66" t="n">
        <x:f>H286-J286</x:f>
        <x:v>0</x:v>
      </x:c>
      <x:c r="L286" s="66" t="n">
        <x:f>K286*G286</x:f>
        <x:v>0</x:v>
      </x:c>
      <x:c r="M286" s="50"/>
      <x:c r="N286" s="66"/>
      <x:c r="O286" s="50"/>
    </x:row>
    <x:row r="287">
      <x:c r="A287" s="50"/>
      <x:c r="B287" s="64"/>
      <x:c r="C287" s="50"/>
      <x:c r="D287" s="50"/>
      <x:c r="E287" s="50" t="str">
        <x:f>IFERROR(VLOOKUP(D287,Inventory!$B:$D,2,FALSE),"")</x:f>
      </x:c>
      <x:c r="F287" s="50" t="str">
        <x:f>IFERROR(VLOOKUP(D287,Inventory!$B:$D,3,FALSE),"")</x:f>
      </x:c>
      <x:c r="G287" s="65" t="n">
        <x:v>0</x:v>
      </x:c>
      <x:c r="H287" s="66" t="n">
        <x:v>0</x:v>
      </x:c>
      <x:c r="I287" s="66" t="n">
        <x:f>G287*H287</x:f>
        <x:v>0</x:v>
      </x:c>
      <x:c r="J287" s="66" t="str">
        <x:f>IFERROR(VLOOKUP(D287,Inventory!$B:$F,4,FALSE),0)</x:f>
      </x:c>
      <x:c r="K287" s="66" t="n">
        <x:f>H287-J287</x:f>
        <x:v>0</x:v>
      </x:c>
      <x:c r="L287" s="66" t="n">
        <x:f>K287*G287</x:f>
        <x:v>0</x:v>
      </x:c>
      <x:c r="M287" s="50"/>
      <x:c r="N287" s="66"/>
      <x:c r="O287" s="50"/>
    </x:row>
    <x:row r="288">
      <x:c r="A288" s="50"/>
      <x:c r="B288" s="64"/>
      <x:c r="C288" s="50"/>
      <x:c r="D288" s="50"/>
      <x:c r="E288" s="50" t="str">
        <x:f>IFERROR(VLOOKUP(D288,Inventory!$B:$D,2,FALSE),"")</x:f>
      </x:c>
      <x:c r="F288" s="50" t="str">
        <x:f>IFERROR(VLOOKUP(D288,Inventory!$B:$D,3,FALSE),"")</x:f>
      </x:c>
      <x:c r="G288" s="65" t="n">
        <x:v>0</x:v>
      </x:c>
      <x:c r="H288" s="66" t="n">
        <x:v>0</x:v>
      </x:c>
      <x:c r="I288" s="66" t="n">
        <x:f>G288*H288</x:f>
        <x:v>0</x:v>
      </x:c>
      <x:c r="J288" s="66" t="str">
        <x:f>IFERROR(VLOOKUP(D288,Inventory!$B:$F,4,FALSE),0)</x:f>
      </x:c>
      <x:c r="K288" s="66" t="n">
        <x:f>H288-J288</x:f>
        <x:v>0</x:v>
      </x:c>
      <x:c r="L288" s="66" t="n">
        <x:f>K288*G288</x:f>
        <x:v>0</x:v>
      </x:c>
      <x:c r="M288" s="50"/>
      <x:c r="N288" s="66"/>
      <x:c r="O288" s="50"/>
    </x:row>
    <x:row r="289">
      <x:c r="A289" s="50"/>
      <x:c r="B289" s="64"/>
      <x:c r="C289" s="50"/>
      <x:c r="D289" s="50"/>
      <x:c r="E289" s="50" t="str">
        <x:f>IFERROR(VLOOKUP(D289,Inventory!$B:$D,2,FALSE),"")</x:f>
      </x:c>
      <x:c r="F289" s="50" t="str">
        <x:f>IFERROR(VLOOKUP(D289,Inventory!$B:$D,3,FALSE),"")</x:f>
      </x:c>
      <x:c r="G289" s="65" t="n">
        <x:v>0</x:v>
      </x:c>
      <x:c r="H289" s="66" t="n">
        <x:v>0</x:v>
      </x:c>
      <x:c r="I289" s="66" t="n">
        <x:f>G289*H289</x:f>
        <x:v>0</x:v>
      </x:c>
      <x:c r="J289" s="66" t="str">
        <x:f>IFERROR(VLOOKUP(D289,Inventory!$B:$F,4,FALSE),0)</x:f>
      </x:c>
      <x:c r="K289" s="66" t="n">
        <x:f>H289-J289</x:f>
        <x:v>0</x:v>
      </x:c>
      <x:c r="L289" s="66" t="n">
        <x:f>K289*G289</x:f>
        <x:v>0</x:v>
      </x:c>
      <x:c r="M289" s="50"/>
      <x:c r="N289" s="66"/>
      <x:c r="O289" s="50"/>
    </x:row>
    <x:row r="290">
      <x:c r="A290" s="50"/>
      <x:c r="B290" s="64"/>
      <x:c r="C290" s="50"/>
      <x:c r="D290" s="50"/>
      <x:c r="E290" s="50" t="str">
        <x:f>IFERROR(VLOOKUP(D290,Inventory!$B:$D,2,FALSE),"")</x:f>
      </x:c>
      <x:c r="F290" s="50" t="str">
        <x:f>IFERROR(VLOOKUP(D290,Inventory!$B:$D,3,FALSE),"")</x:f>
      </x:c>
      <x:c r="G290" s="65" t="n">
        <x:v>0</x:v>
      </x:c>
      <x:c r="H290" s="66" t="n">
        <x:v>0</x:v>
      </x:c>
      <x:c r="I290" s="66" t="n">
        <x:f>G290*H290</x:f>
        <x:v>0</x:v>
      </x:c>
      <x:c r="J290" s="66" t="str">
        <x:f>IFERROR(VLOOKUP(D290,Inventory!$B:$F,4,FALSE),0)</x:f>
      </x:c>
      <x:c r="K290" s="66" t="n">
        <x:f>H290-J290</x:f>
        <x:v>0</x:v>
      </x:c>
      <x:c r="L290" s="66" t="n">
        <x:f>K290*G290</x:f>
        <x:v>0</x:v>
      </x:c>
      <x:c r="M290" s="50"/>
      <x:c r="N290" s="66"/>
      <x:c r="O290" s="50"/>
    </x:row>
    <x:row r="291">
      <x:c r="A291" s="50"/>
      <x:c r="B291" s="64"/>
      <x:c r="C291" s="50"/>
      <x:c r="D291" s="50"/>
      <x:c r="E291" s="50" t="str">
        <x:f>IFERROR(VLOOKUP(D291,Inventory!$B:$D,2,FALSE),"")</x:f>
      </x:c>
      <x:c r="F291" s="50" t="str">
        <x:f>IFERROR(VLOOKUP(D291,Inventory!$B:$D,3,FALSE),"")</x:f>
      </x:c>
      <x:c r="G291" s="65" t="n">
        <x:v>0</x:v>
      </x:c>
      <x:c r="H291" s="66" t="n">
        <x:v>0</x:v>
      </x:c>
      <x:c r="I291" s="66" t="n">
        <x:f>G291*H291</x:f>
        <x:v>0</x:v>
      </x:c>
      <x:c r="J291" s="66" t="str">
        <x:f>IFERROR(VLOOKUP(D291,Inventory!$B:$F,4,FALSE),0)</x:f>
      </x:c>
      <x:c r="K291" s="66" t="n">
        <x:f>H291-J291</x:f>
        <x:v>0</x:v>
      </x:c>
      <x:c r="L291" s="66" t="n">
        <x:f>K291*G291</x:f>
        <x:v>0</x:v>
      </x:c>
      <x:c r="M291" s="50"/>
      <x:c r="N291" s="66"/>
      <x:c r="O291" s="50"/>
    </x:row>
    <x:row r="292">
      <x:c r="A292" s="50"/>
      <x:c r="B292" s="64"/>
      <x:c r="C292" s="50"/>
      <x:c r="D292" s="50"/>
      <x:c r="E292" s="50" t="str">
        <x:f>IFERROR(VLOOKUP(D292,Inventory!$B:$D,2,FALSE),"")</x:f>
      </x:c>
      <x:c r="F292" s="50" t="str">
        <x:f>IFERROR(VLOOKUP(D292,Inventory!$B:$D,3,FALSE),"")</x:f>
      </x:c>
      <x:c r="G292" s="65" t="n">
        <x:v>0</x:v>
      </x:c>
      <x:c r="H292" s="66" t="n">
        <x:v>0</x:v>
      </x:c>
      <x:c r="I292" s="66" t="n">
        <x:f>G292*H292</x:f>
        <x:v>0</x:v>
      </x:c>
      <x:c r="J292" s="66" t="str">
        <x:f>IFERROR(VLOOKUP(D292,Inventory!$B:$F,4,FALSE),0)</x:f>
      </x:c>
      <x:c r="K292" s="66" t="n">
        <x:f>H292-J292</x:f>
        <x:v>0</x:v>
      </x:c>
      <x:c r="L292" s="66" t="n">
        <x:f>K292*G292</x:f>
        <x:v>0</x:v>
      </x:c>
      <x:c r="M292" s="50"/>
      <x:c r="N292" s="66"/>
      <x:c r="O292" s="50"/>
    </x:row>
    <x:row r="293">
      <x:c r="A293" s="50"/>
      <x:c r="B293" s="64"/>
      <x:c r="C293" s="50"/>
      <x:c r="D293" s="50"/>
      <x:c r="E293" s="50" t="str">
        <x:f>IFERROR(VLOOKUP(D293,Inventory!$B:$D,2,FALSE),"")</x:f>
      </x:c>
      <x:c r="F293" s="50" t="str">
        <x:f>IFERROR(VLOOKUP(D293,Inventory!$B:$D,3,FALSE),"")</x:f>
      </x:c>
      <x:c r="G293" s="65" t="n">
        <x:v>0</x:v>
      </x:c>
      <x:c r="H293" s="66" t="n">
        <x:v>0</x:v>
      </x:c>
      <x:c r="I293" s="66" t="n">
        <x:f>G293*H293</x:f>
        <x:v>0</x:v>
      </x:c>
      <x:c r="J293" s="66" t="str">
        <x:f>IFERROR(VLOOKUP(D293,Inventory!$B:$F,4,FALSE),0)</x:f>
      </x:c>
      <x:c r="K293" s="66" t="n">
        <x:f>H293-J293</x:f>
        <x:v>0</x:v>
      </x:c>
      <x:c r="L293" s="66" t="n">
        <x:f>K293*G293</x:f>
        <x:v>0</x:v>
      </x:c>
      <x:c r="M293" s="50"/>
      <x:c r="N293" s="66"/>
      <x:c r="O293" s="50"/>
    </x:row>
    <x:row r="294">
      <x:c r="A294" s="50"/>
      <x:c r="B294" s="64"/>
      <x:c r="C294" s="50"/>
      <x:c r="D294" s="50"/>
      <x:c r="E294" s="50" t="str">
        <x:f>IFERROR(VLOOKUP(D294,Inventory!$B:$D,2,FALSE),"")</x:f>
      </x:c>
      <x:c r="F294" s="50" t="str">
        <x:f>IFERROR(VLOOKUP(D294,Inventory!$B:$D,3,FALSE),"")</x:f>
      </x:c>
      <x:c r="G294" s="65" t="n">
        <x:v>0</x:v>
      </x:c>
      <x:c r="H294" s="66" t="n">
        <x:v>0</x:v>
      </x:c>
      <x:c r="I294" s="66" t="n">
        <x:f>G294*H294</x:f>
        <x:v>0</x:v>
      </x:c>
      <x:c r="J294" s="66" t="str">
        <x:f>IFERROR(VLOOKUP(D294,Inventory!$B:$F,4,FALSE),0)</x:f>
      </x:c>
      <x:c r="K294" s="66" t="n">
        <x:f>H294-J294</x:f>
        <x:v>0</x:v>
      </x:c>
      <x:c r="L294" s="66" t="n">
        <x:f>K294*G294</x:f>
        <x:v>0</x:v>
      </x:c>
      <x:c r="M294" s="50"/>
      <x:c r="N294" s="66"/>
      <x:c r="O294" s="50"/>
    </x:row>
    <x:row r="295">
      <x:c r="A295" s="50"/>
      <x:c r="B295" s="64"/>
      <x:c r="C295" s="50"/>
      <x:c r="D295" s="50"/>
      <x:c r="E295" s="50" t="str">
        <x:f>IFERROR(VLOOKUP(D295,Inventory!$B:$D,2,FALSE),"")</x:f>
      </x:c>
      <x:c r="F295" s="50" t="str">
        <x:f>IFERROR(VLOOKUP(D295,Inventory!$B:$D,3,FALSE),"")</x:f>
      </x:c>
      <x:c r="G295" s="65" t="n">
        <x:v>0</x:v>
      </x:c>
      <x:c r="H295" s="66" t="n">
        <x:v>0</x:v>
      </x:c>
      <x:c r="I295" s="66" t="n">
        <x:f>G295*H295</x:f>
        <x:v>0</x:v>
      </x:c>
      <x:c r="J295" s="66" t="str">
        <x:f>IFERROR(VLOOKUP(D295,Inventory!$B:$F,4,FALSE),0)</x:f>
      </x:c>
      <x:c r="K295" s="66" t="n">
        <x:f>H295-J295</x:f>
        <x:v>0</x:v>
      </x:c>
      <x:c r="L295" s="66" t="n">
        <x:f>K295*G295</x:f>
        <x:v>0</x:v>
      </x:c>
      <x:c r="M295" s="50"/>
      <x:c r="N295" s="66"/>
      <x:c r="O295" s="50"/>
    </x:row>
    <x:row r="296">
      <x:c r="A296" s="50"/>
      <x:c r="B296" s="64"/>
      <x:c r="C296" s="50"/>
      <x:c r="D296" s="50"/>
      <x:c r="E296" s="50" t="str">
        <x:f>IFERROR(VLOOKUP(D296,Inventory!$B:$D,2,FALSE),"")</x:f>
      </x:c>
      <x:c r="F296" s="50" t="str">
        <x:f>IFERROR(VLOOKUP(D296,Inventory!$B:$D,3,FALSE),"")</x:f>
      </x:c>
      <x:c r="G296" s="65" t="n">
        <x:v>0</x:v>
      </x:c>
      <x:c r="H296" s="66" t="n">
        <x:v>0</x:v>
      </x:c>
      <x:c r="I296" s="66" t="n">
        <x:f>G296*H296</x:f>
        <x:v>0</x:v>
      </x:c>
      <x:c r="J296" s="66" t="str">
        <x:f>IFERROR(VLOOKUP(D296,Inventory!$B:$F,4,FALSE),0)</x:f>
      </x:c>
      <x:c r="K296" s="66" t="n">
        <x:f>H296-J296</x:f>
        <x:v>0</x:v>
      </x:c>
      <x:c r="L296" s="66" t="n">
        <x:f>K296*G296</x:f>
        <x:v>0</x:v>
      </x:c>
      <x:c r="M296" s="50"/>
      <x:c r="N296" s="66"/>
      <x:c r="O296" s="50"/>
    </x:row>
    <x:row r="297">
      <x:c r="A297" s="50"/>
      <x:c r="B297" s="64"/>
      <x:c r="C297" s="50"/>
      <x:c r="D297" s="50"/>
      <x:c r="E297" s="50" t="str">
        <x:f>IFERROR(VLOOKUP(D297,Inventory!$B:$D,2,FALSE),"")</x:f>
      </x:c>
      <x:c r="F297" s="50" t="str">
        <x:f>IFERROR(VLOOKUP(D297,Inventory!$B:$D,3,FALSE),"")</x:f>
      </x:c>
      <x:c r="G297" s="65" t="n">
        <x:v>0</x:v>
      </x:c>
      <x:c r="H297" s="66" t="n">
        <x:v>0</x:v>
      </x:c>
      <x:c r="I297" s="66" t="n">
        <x:f>G297*H297</x:f>
        <x:v>0</x:v>
      </x:c>
      <x:c r="J297" s="66" t="str">
        <x:f>IFERROR(VLOOKUP(D297,Inventory!$B:$F,4,FALSE),0)</x:f>
      </x:c>
      <x:c r="K297" s="66" t="n">
        <x:f>H297-J297</x:f>
        <x:v>0</x:v>
      </x:c>
      <x:c r="L297" s="66" t="n">
        <x:f>K297*G297</x:f>
        <x:v>0</x:v>
      </x:c>
      <x:c r="M297" s="50"/>
      <x:c r="N297" s="66"/>
      <x:c r="O297" s="50"/>
    </x:row>
    <x:row r="298">
      <x:c r="A298" s="50"/>
      <x:c r="B298" s="64"/>
      <x:c r="C298" s="50"/>
      <x:c r="D298" s="50"/>
      <x:c r="E298" s="50" t="str">
        <x:f>IFERROR(VLOOKUP(D298,Inventory!$B:$D,2,FALSE),"")</x:f>
      </x:c>
      <x:c r="F298" s="50" t="str">
        <x:f>IFERROR(VLOOKUP(D298,Inventory!$B:$D,3,FALSE),"")</x:f>
      </x:c>
      <x:c r="G298" s="65" t="n">
        <x:v>0</x:v>
      </x:c>
      <x:c r="H298" s="66" t="n">
        <x:v>0</x:v>
      </x:c>
      <x:c r="I298" s="66" t="n">
        <x:f>G298*H298</x:f>
        <x:v>0</x:v>
      </x:c>
      <x:c r="J298" s="66" t="str">
        <x:f>IFERROR(VLOOKUP(D298,Inventory!$B:$F,4,FALSE),0)</x:f>
      </x:c>
      <x:c r="K298" s="66" t="n">
        <x:f>H298-J298</x:f>
        <x:v>0</x:v>
      </x:c>
      <x:c r="L298" s="66" t="n">
        <x:f>K298*G298</x:f>
        <x:v>0</x:v>
      </x:c>
      <x:c r="M298" s="50"/>
      <x:c r="N298" s="66"/>
      <x:c r="O298" s="50"/>
    </x:row>
    <x:row r="299">
      <x:c r="A299" s="50"/>
      <x:c r="B299" s="64"/>
      <x:c r="C299" s="50"/>
      <x:c r="D299" s="50"/>
      <x:c r="E299" s="50" t="str">
        <x:f>IFERROR(VLOOKUP(D299,Inventory!$B:$D,2,FALSE),"")</x:f>
      </x:c>
      <x:c r="F299" s="50" t="str">
        <x:f>IFERROR(VLOOKUP(D299,Inventory!$B:$D,3,FALSE),"")</x:f>
      </x:c>
      <x:c r="G299" s="65" t="n">
        <x:v>0</x:v>
      </x:c>
      <x:c r="H299" s="66" t="n">
        <x:v>0</x:v>
      </x:c>
      <x:c r="I299" s="66" t="n">
        <x:f>G299*H299</x:f>
        <x:v>0</x:v>
      </x:c>
      <x:c r="J299" s="66" t="str">
        <x:f>IFERROR(VLOOKUP(D299,Inventory!$B:$F,4,FALSE),0)</x:f>
      </x:c>
      <x:c r="K299" s="66" t="n">
        <x:f>H299-J299</x:f>
        <x:v>0</x:v>
      </x:c>
      <x:c r="L299" s="66" t="n">
        <x:f>K299*G299</x:f>
        <x:v>0</x:v>
      </x:c>
      <x:c r="M299" s="50"/>
      <x:c r="N299" s="66"/>
      <x:c r="O299" s="50"/>
    </x:row>
    <x:row r="300">
      <x:c r="A300" s="50"/>
      <x:c r="B300" s="64"/>
      <x:c r="C300" s="50"/>
      <x:c r="D300" s="50"/>
      <x:c r="E300" s="50" t="str">
        <x:f>IFERROR(VLOOKUP(D300,Inventory!$B:$D,2,FALSE),"")</x:f>
      </x:c>
      <x:c r="F300" s="50" t="str">
        <x:f>IFERROR(VLOOKUP(D300,Inventory!$B:$D,3,FALSE),"")</x:f>
      </x:c>
      <x:c r="G300" s="65" t="n">
        <x:v>0</x:v>
      </x:c>
      <x:c r="H300" s="66" t="n">
        <x:v>0</x:v>
      </x:c>
      <x:c r="I300" s="66" t="n">
        <x:f>G300*H300</x:f>
        <x:v>0</x:v>
      </x:c>
      <x:c r="J300" s="66" t="str">
        <x:f>IFERROR(VLOOKUP(D300,Inventory!$B:$F,4,FALSE),0)</x:f>
      </x:c>
      <x:c r="K300" s="66" t="n">
        <x:f>H300-J300</x:f>
        <x:v>0</x:v>
      </x:c>
      <x:c r="L300" s="66" t="n">
        <x:f>K300*G300</x:f>
        <x:v>0</x:v>
      </x:c>
      <x:c r="M300" s="50"/>
      <x:c r="N300" s="66"/>
      <x:c r="O300" s="50"/>
    </x:row>
    <x:row r="301">
      <x:c r="A301" s="50"/>
      <x:c r="B301" s="64"/>
      <x:c r="C301" s="50"/>
      <x:c r="D301" s="50"/>
      <x:c r="E301" s="50" t="str">
        <x:f>IFERROR(VLOOKUP(D301,Inventory!$B:$D,2,FALSE),"")</x:f>
      </x:c>
      <x:c r="F301" s="50" t="str">
        <x:f>IFERROR(VLOOKUP(D301,Inventory!$B:$D,3,FALSE),"")</x:f>
      </x:c>
      <x:c r="G301" s="65" t="n">
        <x:v>0</x:v>
      </x:c>
      <x:c r="H301" s="66" t="n">
        <x:v>0</x:v>
      </x:c>
      <x:c r="I301" s="66" t="n">
        <x:f>G301*H301</x:f>
        <x:v>0</x:v>
      </x:c>
      <x:c r="J301" s="66" t="str">
        <x:f>IFERROR(VLOOKUP(D301,Inventory!$B:$F,4,FALSE),0)</x:f>
      </x:c>
      <x:c r="K301" s="66" t="n">
        <x:f>H301-J301</x:f>
        <x:v>0</x:v>
      </x:c>
      <x:c r="L301" s="66" t="n">
        <x:f>K301*G301</x:f>
        <x:v>0</x:v>
      </x:c>
      <x:c r="M301" s="50"/>
      <x:c r="N301" s="66"/>
      <x:c r="O301" s="50"/>
    </x:row>
    <x:row r="302">
      <x:c r="A302" s="50"/>
      <x:c r="B302" s="64"/>
      <x:c r="C302" s="50"/>
      <x:c r="D302" s="50"/>
      <x:c r="E302" s="50" t="str">
        <x:f>IFERROR(VLOOKUP(D302,Inventory!$B:$D,2,FALSE),"")</x:f>
      </x:c>
      <x:c r="F302" s="50" t="str">
        <x:f>IFERROR(VLOOKUP(D302,Inventory!$B:$D,3,FALSE),"")</x:f>
      </x:c>
      <x:c r="G302" s="65" t="n">
        <x:v>0</x:v>
      </x:c>
      <x:c r="H302" s="66" t="n">
        <x:v>0</x:v>
      </x:c>
      <x:c r="I302" s="66" t="n">
        <x:f>G302*H302</x:f>
        <x:v>0</x:v>
      </x:c>
      <x:c r="J302" s="66" t="str">
        <x:f>IFERROR(VLOOKUP(D302,Inventory!$B:$F,4,FALSE),0)</x:f>
      </x:c>
      <x:c r="K302" s="66" t="n">
        <x:f>H302-J302</x:f>
        <x:v>0</x:v>
      </x:c>
      <x:c r="L302" s="66" t="n">
        <x:f>K302*G302</x:f>
        <x:v>0</x:v>
      </x:c>
      <x:c r="M302" s="50"/>
      <x:c r="N302" s="66"/>
      <x:c r="O302" s="50"/>
    </x:row>
    <x:row r="303">
      <x:c r="A303" s="50"/>
      <x:c r="B303" s="64"/>
      <x:c r="C303" s="50"/>
      <x:c r="D303" s="50"/>
      <x:c r="E303" s="50" t="str">
        <x:f>IFERROR(VLOOKUP(D303,Inventory!$B:$D,2,FALSE),"")</x:f>
      </x:c>
      <x:c r="F303" s="50" t="str">
        <x:f>IFERROR(VLOOKUP(D303,Inventory!$B:$D,3,FALSE),"")</x:f>
      </x:c>
      <x:c r="G303" s="65" t="n">
        <x:v>0</x:v>
      </x:c>
      <x:c r="H303" s="66" t="n">
        <x:v>0</x:v>
      </x:c>
      <x:c r="I303" s="66" t="n">
        <x:f>G303*H303</x:f>
        <x:v>0</x:v>
      </x:c>
      <x:c r="J303" s="66" t="str">
        <x:f>IFERROR(VLOOKUP(D303,Inventory!$B:$F,4,FALSE),0)</x:f>
      </x:c>
      <x:c r="K303" s="66" t="n">
        <x:f>H303-J303</x:f>
        <x:v>0</x:v>
      </x:c>
      <x:c r="L303" s="66" t="n">
        <x:f>K303*G303</x:f>
        <x:v>0</x:v>
      </x:c>
      <x:c r="M303" s="50"/>
      <x:c r="N303" s="66"/>
      <x:c r="O303" s="50"/>
    </x:row>
    <x:row r="304">
      <x:c r="A304" s="50"/>
      <x:c r="B304" s="64"/>
      <x:c r="C304" s="50"/>
      <x:c r="D304" s="50"/>
      <x:c r="E304" s="50" t="str">
        <x:f>IFERROR(VLOOKUP(D304,Inventory!$B:$D,2,FALSE),"")</x:f>
      </x:c>
      <x:c r="F304" s="50" t="str">
        <x:f>IFERROR(VLOOKUP(D304,Inventory!$B:$D,3,FALSE),"")</x:f>
      </x:c>
      <x:c r="G304" s="65" t="n">
        <x:v>0</x:v>
      </x:c>
      <x:c r="H304" s="66" t="n">
        <x:v>0</x:v>
      </x:c>
      <x:c r="I304" s="66" t="n">
        <x:f>G304*H304</x:f>
        <x:v>0</x:v>
      </x:c>
      <x:c r="J304" s="66" t="str">
        <x:f>IFERROR(VLOOKUP(D304,Inventory!$B:$F,4,FALSE),0)</x:f>
      </x:c>
      <x:c r="K304" s="66" t="n">
        <x:f>H304-J304</x:f>
        <x:v>0</x:v>
      </x:c>
      <x:c r="L304" s="66" t="n">
        <x:f>K304*G304</x:f>
        <x:v>0</x:v>
      </x:c>
      <x:c r="M304" s="50"/>
      <x:c r="N304" s="66"/>
      <x:c r="O304" s="50"/>
    </x:row>
    <x:row r="305">
      <x:c r="A305" s="50"/>
      <x:c r="B305" s="64"/>
      <x:c r="C305" s="50"/>
      <x:c r="D305" s="50"/>
      <x:c r="E305" s="50" t="str">
        <x:f>IFERROR(VLOOKUP(D305,Inventory!$B:$D,2,FALSE),"")</x:f>
      </x:c>
      <x:c r="F305" s="50" t="str">
        <x:f>IFERROR(VLOOKUP(D305,Inventory!$B:$D,3,FALSE),"")</x:f>
      </x:c>
      <x:c r="G305" s="65" t="n">
        <x:v>0</x:v>
      </x:c>
      <x:c r="H305" s="66" t="n">
        <x:v>0</x:v>
      </x:c>
      <x:c r="I305" s="66" t="n">
        <x:f>G305*H305</x:f>
        <x:v>0</x:v>
      </x:c>
      <x:c r="J305" s="66" t="str">
        <x:f>IFERROR(VLOOKUP(D305,Inventory!$B:$F,4,FALSE),0)</x:f>
      </x:c>
      <x:c r="K305" s="66" t="n">
        <x:f>H305-J305</x:f>
        <x:v>0</x:v>
      </x:c>
      <x:c r="L305" s="66" t="n">
        <x:f>K305*G305</x:f>
        <x:v>0</x:v>
      </x:c>
      <x:c r="M305" s="50"/>
      <x:c r="N305" s="66"/>
      <x:c r="O305" s="50"/>
    </x:row>
    <x:row r="306">
      <x:c r="A306" s="50"/>
      <x:c r="B306" s="64"/>
      <x:c r="C306" s="50"/>
      <x:c r="D306" s="50"/>
      <x:c r="E306" s="50" t="str">
        <x:f>IFERROR(VLOOKUP(D306,Inventory!$B:$D,2,FALSE),"")</x:f>
      </x:c>
      <x:c r="F306" s="50" t="str">
        <x:f>IFERROR(VLOOKUP(D306,Inventory!$B:$D,3,FALSE),"")</x:f>
      </x:c>
      <x:c r="G306" s="65" t="n">
        <x:v>0</x:v>
      </x:c>
      <x:c r="H306" s="66" t="n">
        <x:v>0</x:v>
      </x:c>
      <x:c r="I306" s="66" t="n">
        <x:f>G306*H306</x:f>
        <x:v>0</x:v>
      </x:c>
      <x:c r="J306" s="66" t="str">
        <x:f>IFERROR(VLOOKUP(D306,Inventory!$B:$F,4,FALSE),0)</x:f>
      </x:c>
      <x:c r="K306" s="66" t="n">
        <x:f>H306-J306</x:f>
        <x:v>0</x:v>
      </x:c>
      <x:c r="L306" s="66" t="n">
        <x:f>K306*G306</x:f>
        <x:v>0</x:v>
      </x:c>
      <x:c r="M306" s="50"/>
      <x:c r="N306" s="66"/>
      <x:c r="O306" s="50"/>
    </x:row>
    <x:row r="307">
      <x:c r="A307" s="50"/>
      <x:c r="B307" s="64"/>
      <x:c r="C307" s="50"/>
      <x:c r="D307" s="50"/>
      <x:c r="E307" s="50" t="str">
        <x:f>IFERROR(VLOOKUP(D307,Inventory!$B:$D,2,FALSE),"")</x:f>
      </x:c>
      <x:c r="F307" s="50" t="str">
        <x:f>IFERROR(VLOOKUP(D307,Inventory!$B:$D,3,FALSE),"")</x:f>
      </x:c>
      <x:c r="G307" s="65" t="n">
        <x:v>0</x:v>
      </x:c>
      <x:c r="H307" s="66" t="n">
        <x:v>0</x:v>
      </x:c>
      <x:c r="I307" s="66" t="n">
        <x:f>G307*H307</x:f>
        <x:v>0</x:v>
      </x:c>
      <x:c r="J307" s="66" t="str">
        <x:f>IFERROR(VLOOKUP(D307,Inventory!$B:$F,4,FALSE),0)</x:f>
      </x:c>
      <x:c r="K307" s="66" t="n">
        <x:f>H307-J307</x:f>
        <x:v>0</x:v>
      </x:c>
      <x:c r="L307" s="66" t="n">
        <x:f>K307*G307</x:f>
        <x:v>0</x:v>
      </x:c>
      <x:c r="M307" s="50"/>
      <x:c r="N307" s="66"/>
      <x:c r="O307" s="50"/>
    </x:row>
    <x:row r="308">
      <x:c r="A308" s="50"/>
      <x:c r="B308" s="64"/>
      <x:c r="C308" s="50"/>
      <x:c r="D308" s="50"/>
      <x:c r="E308" s="50" t="str">
        <x:f>IFERROR(VLOOKUP(D308,Inventory!$B:$D,2,FALSE),"")</x:f>
      </x:c>
      <x:c r="F308" s="50" t="str">
        <x:f>IFERROR(VLOOKUP(D308,Inventory!$B:$D,3,FALSE),"")</x:f>
      </x:c>
      <x:c r="G308" s="65" t="n">
        <x:v>0</x:v>
      </x:c>
      <x:c r="H308" s="66" t="n">
        <x:v>0</x:v>
      </x:c>
      <x:c r="I308" s="66" t="n">
        <x:f>G308*H308</x:f>
        <x:v>0</x:v>
      </x:c>
      <x:c r="J308" s="66" t="str">
        <x:f>IFERROR(VLOOKUP(D308,Inventory!$B:$F,4,FALSE),0)</x:f>
      </x:c>
      <x:c r="K308" s="66" t="n">
        <x:f>H308-J308</x:f>
        <x:v>0</x:v>
      </x:c>
      <x:c r="L308" s="66" t="n">
        <x:f>K308*G308</x:f>
        <x:v>0</x:v>
      </x:c>
      <x:c r="M308" s="50"/>
      <x:c r="N308" s="66"/>
      <x:c r="O308" s="50"/>
    </x:row>
    <x:row r="309">
      <x:c r="A309" s="50"/>
      <x:c r="B309" s="64"/>
      <x:c r="C309" s="50"/>
      <x:c r="D309" s="50"/>
      <x:c r="E309" s="50" t="str">
        <x:f>IFERROR(VLOOKUP(D309,Inventory!$B:$D,2,FALSE),"")</x:f>
      </x:c>
      <x:c r="F309" s="50" t="str">
        <x:f>IFERROR(VLOOKUP(D309,Inventory!$B:$D,3,FALSE),"")</x:f>
      </x:c>
      <x:c r="G309" s="65" t="n">
        <x:v>0</x:v>
      </x:c>
      <x:c r="H309" s="66" t="n">
        <x:v>0</x:v>
      </x:c>
      <x:c r="I309" s="66" t="n">
        <x:f>G309*H309</x:f>
        <x:v>0</x:v>
      </x:c>
      <x:c r="J309" s="66" t="str">
        <x:f>IFERROR(VLOOKUP(D309,Inventory!$B:$F,4,FALSE),0)</x:f>
      </x:c>
      <x:c r="K309" s="66" t="n">
        <x:f>H309-J309</x:f>
        <x:v>0</x:v>
      </x:c>
      <x:c r="L309" s="66" t="n">
        <x:f>K309*G309</x:f>
        <x:v>0</x:v>
      </x:c>
      <x:c r="M309" s="50"/>
      <x:c r="N309" s="66"/>
      <x:c r="O309" s="50"/>
    </x:row>
    <x:row r="310">
      <x:c r="A310" s="50"/>
      <x:c r="B310" s="64"/>
      <x:c r="C310" s="50"/>
      <x:c r="D310" s="50"/>
      <x:c r="E310" s="50" t="str">
        <x:f>IFERROR(VLOOKUP(D310,Inventory!$B:$D,2,FALSE),"")</x:f>
      </x:c>
      <x:c r="F310" s="50" t="str">
        <x:f>IFERROR(VLOOKUP(D310,Inventory!$B:$D,3,FALSE),"")</x:f>
      </x:c>
      <x:c r="G310" s="65" t="n">
        <x:v>0</x:v>
      </x:c>
      <x:c r="H310" s="66" t="n">
        <x:v>0</x:v>
      </x:c>
      <x:c r="I310" s="66" t="n">
        <x:f>G310*H310</x:f>
        <x:v>0</x:v>
      </x:c>
      <x:c r="J310" s="66" t="str">
        <x:f>IFERROR(VLOOKUP(D310,Inventory!$B:$F,4,FALSE),0)</x:f>
      </x:c>
      <x:c r="K310" s="66" t="n">
        <x:f>H310-J310</x:f>
        <x:v>0</x:v>
      </x:c>
      <x:c r="L310" s="66" t="n">
        <x:f>K310*G310</x:f>
        <x:v>0</x:v>
      </x:c>
      <x:c r="M310" s="50"/>
      <x:c r="N310" s="66"/>
      <x:c r="O310" s="50"/>
    </x:row>
    <x:row r="311">
      <x:c r="A311" s="50"/>
      <x:c r="B311" s="64"/>
      <x:c r="C311" s="50"/>
      <x:c r="D311" s="50"/>
      <x:c r="E311" s="50" t="str">
        <x:f>IFERROR(VLOOKUP(D311,Inventory!$B:$D,2,FALSE),"")</x:f>
      </x:c>
      <x:c r="F311" s="50" t="str">
        <x:f>IFERROR(VLOOKUP(D311,Inventory!$B:$D,3,FALSE),"")</x:f>
      </x:c>
      <x:c r="G311" s="65" t="n">
        <x:v>0</x:v>
      </x:c>
      <x:c r="H311" s="66" t="n">
        <x:v>0</x:v>
      </x:c>
      <x:c r="I311" s="66" t="n">
        <x:f>G311*H311</x:f>
        <x:v>0</x:v>
      </x:c>
      <x:c r="J311" s="66" t="str">
        <x:f>IFERROR(VLOOKUP(D311,Inventory!$B:$F,4,FALSE),0)</x:f>
      </x:c>
      <x:c r="K311" s="66" t="n">
        <x:f>H311-J311</x:f>
        <x:v>0</x:v>
      </x:c>
      <x:c r="L311" s="66" t="n">
        <x:f>K311*G311</x:f>
        <x:v>0</x:v>
      </x:c>
      <x:c r="M311" s="50"/>
      <x:c r="N311" s="66"/>
      <x:c r="O311" s="50"/>
    </x:row>
    <x:row r="312">
      <x:c r="A312" s="50"/>
      <x:c r="B312" s="64"/>
      <x:c r="C312" s="50"/>
      <x:c r="D312" s="50"/>
      <x:c r="E312" s="50" t="str">
        <x:f>IFERROR(VLOOKUP(D312,Inventory!$B:$D,2,FALSE),"")</x:f>
      </x:c>
      <x:c r="F312" s="50" t="str">
        <x:f>IFERROR(VLOOKUP(D312,Inventory!$B:$D,3,FALSE),"")</x:f>
      </x:c>
      <x:c r="G312" s="65" t="n">
        <x:v>0</x:v>
      </x:c>
      <x:c r="H312" s="66" t="n">
        <x:v>0</x:v>
      </x:c>
      <x:c r="I312" s="66" t="n">
        <x:f>G312*H312</x:f>
        <x:v>0</x:v>
      </x:c>
      <x:c r="J312" s="66" t="str">
        <x:f>IFERROR(VLOOKUP(D312,Inventory!$B:$F,4,FALSE),0)</x:f>
      </x:c>
      <x:c r="K312" s="66" t="n">
        <x:f>H312-J312</x:f>
        <x:v>0</x:v>
      </x:c>
      <x:c r="L312" s="66" t="n">
        <x:f>K312*G312</x:f>
        <x:v>0</x:v>
      </x:c>
      <x:c r="M312" s="50"/>
      <x:c r="N312" s="66"/>
      <x:c r="O312" s="50"/>
    </x:row>
    <x:row r="313">
      <x:c r="A313" s="50"/>
      <x:c r="B313" s="64"/>
      <x:c r="C313" s="50"/>
      <x:c r="D313" s="50"/>
      <x:c r="E313" s="50" t="str">
        <x:f>IFERROR(VLOOKUP(D313,Inventory!$B:$D,2,FALSE),"")</x:f>
      </x:c>
      <x:c r="F313" s="50" t="str">
        <x:f>IFERROR(VLOOKUP(D313,Inventory!$B:$D,3,FALSE),"")</x:f>
      </x:c>
      <x:c r="G313" s="65" t="n">
        <x:v>0</x:v>
      </x:c>
      <x:c r="H313" s="66" t="n">
        <x:v>0</x:v>
      </x:c>
      <x:c r="I313" s="66" t="n">
        <x:f>G313*H313</x:f>
        <x:v>0</x:v>
      </x:c>
      <x:c r="J313" s="66" t="str">
        <x:f>IFERROR(VLOOKUP(D313,Inventory!$B:$F,4,FALSE),0)</x:f>
      </x:c>
      <x:c r="K313" s="66" t="n">
        <x:f>H313-J313</x:f>
        <x:v>0</x:v>
      </x:c>
      <x:c r="L313" s="66" t="n">
        <x:f>K313*G313</x:f>
        <x:v>0</x:v>
      </x:c>
      <x:c r="M313" s="50"/>
      <x:c r="N313" s="66"/>
      <x:c r="O313" s="50"/>
    </x:row>
    <x:row r="314">
      <x:c r="A314" s="50"/>
      <x:c r="B314" s="64"/>
      <x:c r="C314" s="50"/>
      <x:c r="D314" s="50"/>
      <x:c r="E314" s="50" t="str">
        <x:f>IFERROR(VLOOKUP(D314,Inventory!$B:$D,2,FALSE),"")</x:f>
      </x:c>
      <x:c r="F314" s="50" t="str">
        <x:f>IFERROR(VLOOKUP(D314,Inventory!$B:$D,3,FALSE),"")</x:f>
      </x:c>
      <x:c r="G314" s="65" t="n">
        <x:v>0</x:v>
      </x:c>
      <x:c r="H314" s="66" t="n">
        <x:v>0</x:v>
      </x:c>
      <x:c r="I314" s="66" t="n">
        <x:f>G314*H314</x:f>
        <x:v>0</x:v>
      </x:c>
      <x:c r="J314" s="66" t="str">
        <x:f>IFERROR(VLOOKUP(D314,Inventory!$B:$F,4,FALSE),0)</x:f>
      </x:c>
      <x:c r="K314" s="66" t="n">
        <x:f>H314-J314</x:f>
        <x:v>0</x:v>
      </x:c>
      <x:c r="L314" s="66" t="n">
        <x:f>K314*G314</x:f>
        <x:v>0</x:v>
      </x:c>
      <x:c r="M314" s="50"/>
      <x:c r="N314" s="66"/>
      <x:c r="O314" s="50"/>
    </x:row>
    <x:row r="315">
      <x:c r="A315" s="50"/>
      <x:c r="B315" s="64"/>
      <x:c r="C315" s="50"/>
      <x:c r="D315" s="50"/>
      <x:c r="E315" s="50" t="str">
        <x:f>IFERROR(VLOOKUP(D315,Inventory!$B:$D,2,FALSE),"")</x:f>
      </x:c>
      <x:c r="F315" s="50" t="str">
        <x:f>IFERROR(VLOOKUP(D315,Inventory!$B:$D,3,FALSE),"")</x:f>
      </x:c>
      <x:c r="G315" s="65" t="n">
        <x:v>0</x:v>
      </x:c>
      <x:c r="H315" s="66" t="n">
        <x:v>0</x:v>
      </x:c>
      <x:c r="I315" s="66" t="n">
        <x:f>G315*H315</x:f>
        <x:v>0</x:v>
      </x:c>
      <x:c r="J315" s="66" t="str">
        <x:f>IFERROR(VLOOKUP(D315,Inventory!$B:$F,4,FALSE),0)</x:f>
      </x:c>
      <x:c r="K315" s="66" t="n">
        <x:f>H315-J315</x:f>
        <x:v>0</x:v>
      </x:c>
      <x:c r="L315" s="66" t="n">
        <x:f>K315*G315</x:f>
        <x:v>0</x:v>
      </x:c>
      <x:c r="M315" s="50"/>
      <x:c r="N315" s="66"/>
      <x:c r="O315" s="50"/>
    </x:row>
    <x:row r="316">
      <x:c r="A316" s="50"/>
      <x:c r="B316" s="64"/>
      <x:c r="C316" s="50"/>
      <x:c r="D316" s="50"/>
      <x:c r="E316" s="50" t="str">
        <x:f>IFERROR(VLOOKUP(D316,Inventory!$B:$D,2,FALSE),"")</x:f>
      </x:c>
      <x:c r="F316" s="50" t="str">
        <x:f>IFERROR(VLOOKUP(D316,Inventory!$B:$D,3,FALSE),"")</x:f>
      </x:c>
      <x:c r="G316" s="65" t="n">
        <x:v>0</x:v>
      </x:c>
      <x:c r="H316" s="66" t="n">
        <x:v>0</x:v>
      </x:c>
      <x:c r="I316" s="66" t="n">
        <x:f>G316*H316</x:f>
        <x:v>0</x:v>
      </x:c>
      <x:c r="J316" s="66" t="str">
        <x:f>IFERROR(VLOOKUP(D316,Inventory!$B:$F,4,FALSE),0)</x:f>
      </x:c>
      <x:c r="K316" s="66" t="n">
        <x:f>H316-J316</x:f>
        <x:v>0</x:v>
      </x:c>
      <x:c r="L316" s="66" t="n">
        <x:f>K316*G316</x:f>
        <x:v>0</x:v>
      </x:c>
      <x:c r="M316" s="50"/>
      <x:c r="N316" s="66"/>
      <x:c r="O316" s="50"/>
    </x:row>
    <x:row r="317">
      <x:c r="A317" s="50"/>
      <x:c r="B317" s="64"/>
      <x:c r="C317" s="50"/>
      <x:c r="D317" s="50"/>
      <x:c r="E317" s="50" t="str">
        <x:f>IFERROR(VLOOKUP(D317,Inventory!$B:$D,2,FALSE),"")</x:f>
      </x:c>
      <x:c r="F317" s="50" t="str">
        <x:f>IFERROR(VLOOKUP(D317,Inventory!$B:$D,3,FALSE),"")</x:f>
      </x:c>
      <x:c r="G317" s="65" t="n">
        <x:v>0</x:v>
      </x:c>
      <x:c r="H317" s="66" t="n">
        <x:v>0</x:v>
      </x:c>
      <x:c r="I317" s="66" t="n">
        <x:f>G317*H317</x:f>
        <x:v>0</x:v>
      </x:c>
      <x:c r="J317" s="66" t="str">
        <x:f>IFERROR(VLOOKUP(D317,Inventory!$B:$F,4,FALSE),0)</x:f>
      </x:c>
      <x:c r="K317" s="66" t="n">
        <x:f>H317-J317</x:f>
        <x:v>0</x:v>
      </x:c>
      <x:c r="L317" s="66" t="n">
        <x:f>K317*G317</x:f>
        <x:v>0</x:v>
      </x:c>
      <x:c r="M317" s="50"/>
      <x:c r="N317" s="66"/>
      <x:c r="O317" s="50"/>
    </x:row>
    <x:row r="318">
      <x:c r="A318" s="50"/>
      <x:c r="B318" s="64"/>
      <x:c r="C318" s="50"/>
      <x:c r="D318" s="50"/>
      <x:c r="E318" s="50" t="str">
        <x:f>IFERROR(VLOOKUP(D318,Inventory!$B:$D,2,FALSE),"")</x:f>
      </x:c>
      <x:c r="F318" s="50" t="str">
        <x:f>IFERROR(VLOOKUP(D318,Inventory!$B:$D,3,FALSE),"")</x:f>
      </x:c>
      <x:c r="G318" s="65" t="n">
        <x:v>0</x:v>
      </x:c>
      <x:c r="H318" s="66" t="n">
        <x:v>0</x:v>
      </x:c>
      <x:c r="I318" s="66" t="n">
        <x:f>G318*H318</x:f>
        <x:v>0</x:v>
      </x:c>
      <x:c r="J318" s="66" t="str">
        <x:f>IFERROR(VLOOKUP(D318,Inventory!$B:$F,4,FALSE),0)</x:f>
      </x:c>
      <x:c r="K318" s="66" t="n">
        <x:f>H318-J318</x:f>
        <x:v>0</x:v>
      </x:c>
      <x:c r="L318" s="66" t="n">
        <x:f>K318*G318</x:f>
        <x:v>0</x:v>
      </x:c>
      <x:c r="M318" s="50"/>
      <x:c r="N318" s="66"/>
      <x:c r="O318" s="50"/>
    </x:row>
    <x:row r="319">
      <x:c r="A319" s="50"/>
      <x:c r="B319" s="64"/>
      <x:c r="C319" s="50"/>
      <x:c r="D319" s="50"/>
      <x:c r="E319" s="50" t="str">
        <x:f>IFERROR(VLOOKUP(D319,Inventory!$B:$D,2,FALSE),"")</x:f>
      </x:c>
      <x:c r="F319" s="50" t="str">
        <x:f>IFERROR(VLOOKUP(D319,Inventory!$B:$D,3,FALSE),"")</x:f>
      </x:c>
      <x:c r="G319" s="65" t="n">
        <x:v>0</x:v>
      </x:c>
      <x:c r="H319" s="66" t="n">
        <x:v>0</x:v>
      </x:c>
      <x:c r="I319" s="66" t="n">
        <x:f>G319*H319</x:f>
        <x:v>0</x:v>
      </x:c>
      <x:c r="J319" s="66" t="str">
        <x:f>IFERROR(VLOOKUP(D319,Inventory!$B:$F,4,FALSE),0)</x:f>
      </x:c>
      <x:c r="K319" s="66" t="n">
        <x:f>H319-J319</x:f>
        <x:v>0</x:v>
      </x:c>
      <x:c r="L319" s="66" t="n">
        <x:f>K319*G319</x:f>
        <x:v>0</x:v>
      </x:c>
      <x:c r="M319" s="50"/>
      <x:c r="N319" s="66"/>
      <x:c r="O319" s="50"/>
    </x:row>
    <x:row r="320">
      <x:c r="A320" s="50"/>
      <x:c r="B320" s="64"/>
      <x:c r="C320" s="50"/>
      <x:c r="D320" s="50"/>
      <x:c r="E320" s="50" t="str">
        <x:f>IFERROR(VLOOKUP(D320,Inventory!$B:$D,2,FALSE),"")</x:f>
      </x:c>
      <x:c r="F320" s="50" t="str">
        <x:f>IFERROR(VLOOKUP(D320,Inventory!$B:$D,3,FALSE),"")</x:f>
      </x:c>
      <x:c r="G320" s="65" t="n">
        <x:v>0</x:v>
      </x:c>
      <x:c r="H320" s="66" t="n">
        <x:v>0</x:v>
      </x:c>
      <x:c r="I320" s="66" t="n">
        <x:f>G320*H320</x:f>
        <x:v>0</x:v>
      </x:c>
      <x:c r="J320" s="66" t="str">
        <x:f>IFERROR(VLOOKUP(D320,Inventory!$B:$F,4,FALSE),0)</x:f>
      </x:c>
      <x:c r="K320" s="66" t="n">
        <x:f>H320-J320</x:f>
        <x:v>0</x:v>
      </x:c>
      <x:c r="L320" s="66" t="n">
        <x:f>K320*G320</x:f>
        <x:v>0</x:v>
      </x:c>
      <x:c r="M320" s="50"/>
      <x:c r="N320" s="66"/>
      <x:c r="O320" s="50"/>
    </x:row>
    <x:row r="321">
      <x:c r="A321" s="50"/>
      <x:c r="B321" s="64"/>
      <x:c r="C321" s="50"/>
      <x:c r="D321" s="50"/>
      <x:c r="E321" s="50" t="str">
        <x:f>IFERROR(VLOOKUP(D321,Inventory!$B:$D,2,FALSE),"")</x:f>
      </x:c>
      <x:c r="F321" s="50" t="str">
        <x:f>IFERROR(VLOOKUP(D321,Inventory!$B:$D,3,FALSE),"")</x:f>
      </x:c>
      <x:c r="G321" s="65" t="n">
        <x:v>0</x:v>
      </x:c>
      <x:c r="H321" s="66" t="n">
        <x:v>0</x:v>
      </x:c>
      <x:c r="I321" s="66" t="n">
        <x:f>G321*H321</x:f>
        <x:v>0</x:v>
      </x:c>
      <x:c r="J321" s="66" t="str">
        <x:f>IFERROR(VLOOKUP(D321,Inventory!$B:$F,4,FALSE),0)</x:f>
      </x:c>
      <x:c r="K321" s="66" t="n">
        <x:f>H321-J321</x:f>
        <x:v>0</x:v>
      </x:c>
      <x:c r="L321" s="66" t="n">
        <x:f>K321*G321</x:f>
        <x:v>0</x:v>
      </x:c>
      <x:c r="M321" s="50"/>
      <x:c r="N321" s="66"/>
      <x:c r="O321" s="50"/>
    </x:row>
    <x:row r="322">
      <x:c r="A322" s="50"/>
      <x:c r="B322" s="64"/>
      <x:c r="C322" s="50"/>
      <x:c r="D322" s="50"/>
      <x:c r="E322" s="50" t="str">
        <x:f>IFERROR(VLOOKUP(D322,Inventory!$B:$D,2,FALSE),"")</x:f>
      </x:c>
      <x:c r="F322" s="50" t="str">
        <x:f>IFERROR(VLOOKUP(D322,Inventory!$B:$D,3,FALSE),"")</x:f>
      </x:c>
      <x:c r="G322" s="65" t="n">
        <x:v>0</x:v>
      </x:c>
      <x:c r="H322" s="66" t="n">
        <x:v>0</x:v>
      </x:c>
      <x:c r="I322" s="66" t="n">
        <x:f>G322*H322</x:f>
        <x:v>0</x:v>
      </x:c>
      <x:c r="J322" s="66" t="str">
        <x:f>IFERROR(VLOOKUP(D322,Inventory!$B:$F,4,FALSE),0)</x:f>
      </x:c>
      <x:c r="K322" s="66" t="n">
        <x:f>H322-J322</x:f>
        <x:v>0</x:v>
      </x:c>
      <x:c r="L322" s="66" t="n">
        <x:f>K322*G322</x:f>
        <x:v>0</x:v>
      </x:c>
      <x:c r="M322" s="50"/>
      <x:c r="N322" s="66"/>
      <x:c r="O322" s="50"/>
    </x:row>
    <x:row r="323">
      <x:c r="A323" s="50"/>
      <x:c r="B323" s="64"/>
      <x:c r="C323" s="50"/>
      <x:c r="D323" s="50"/>
      <x:c r="E323" s="50" t="str">
        <x:f>IFERROR(VLOOKUP(D323,Inventory!$B:$D,2,FALSE),"")</x:f>
      </x:c>
      <x:c r="F323" s="50" t="str">
        <x:f>IFERROR(VLOOKUP(D323,Inventory!$B:$D,3,FALSE),"")</x:f>
      </x:c>
      <x:c r="G323" s="65" t="n">
        <x:v>0</x:v>
      </x:c>
      <x:c r="H323" s="66" t="n">
        <x:v>0</x:v>
      </x:c>
      <x:c r="I323" s="66" t="n">
        <x:f>G323*H323</x:f>
        <x:v>0</x:v>
      </x:c>
      <x:c r="J323" s="66" t="str">
        <x:f>IFERROR(VLOOKUP(D323,Inventory!$B:$F,4,FALSE),0)</x:f>
      </x:c>
      <x:c r="K323" s="66" t="n">
        <x:f>H323-J323</x:f>
        <x:v>0</x:v>
      </x:c>
      <x:c r="L323" s="66" t="n">
        <x:f>K323*G323</x:f>
        <x:v>0</x:v>
      </x:c>
      <x:c r="M323" s="50"/>
      <x:c r="N323" s="66"/>
      <x:c r="O323" s="50"/>
    </x:row>
    <x:row r="324">
      <x:c r="A324" s="50"/>
      <x:c r="B324" s="64"/>
      <x:c r="C324" s="50"/>
      <x:c r="D324" s="50"/>
      <x:c r="E324" s="50" t="str">
        <x:f>IFERROR(VLOOKUP(D324,Inventory!$B:$D,2,FALSE),"")</x:f>
      </x:c>
      <x:c r="F324" s="50" t="str">
        <x:f>IFERROR(VLOOKUP(D324,Inventory!$B:$D,3,FALSE),"")</x:f>
      </x:c>
      <x:c r="G324" s="65" t="n">
        <x:v>0</x:v>
      </x:c>
      <x:c r="H324" s="66" t="n">
        <x:v>0</x:v>
      </x:c>
      <x:c r="I324" s="66" t="n">
        <x:f>G324*H324</x:f>
        <x:v>0</x:v>
      </x:c>
      <x:c r="J324" s="66" t="str">
        <x:f>IFERROR(VLOOKUP(D324,Inventory!$B:$F,4,FALSE),0)</x:f>
      </x:c>
      <x:c r="K324" s="66" t="n">
        <x:f>H324-J324</x:f>
        <x:v>0</x:v>
      </x:c>
      <x:c r="L324" s="66" t="n">
        <x:f>K324*G324</x:f>
        <x:v>0</x:v>
      </x:c>
      <x:c r="M324" s="50"/>
      <x:c r="N324" s="66"/>
      <x:c r="O324" s="50"/>
    </x:row>
    <x:row r="325">
      <x:c r="A325" s="50"/>
      <x:c r="B325" s="64"/>
      <x:c r="C325" s="50"/>
      <x:c r="D325" s="50"/>
      <x:c r="E325" s="50" t="str">
        <x:f>IFERROR(VLOOKUP(D325,Inventory!$B:$D,2,FALSE),"")</x:f>
      </x:c>
      <x:c r="F325" s="50" t="str">
        <x:f>IFERROR(VLOOKUP(D325,Inventory!$B:$D,3,FALSE),"")</x:f>
      </x:c>
      <x:c r="G325" s="65" t="n">
        <x:v>0</x:v>
      </x:c>
      <x:c r="H325" s="66" t="n">
        <x:v>0</x:v>
      </x:c>
      <x:c r="I325" s="66" t="n">
        <x:f>G325*H325</x:f>
        <x:v>0</x:v>
      </x:c>
      <x:c r="J325" s="66" t="str">
        <x:f>IFERROR(VLOOKUP(D325,Inventory!$B:$F,4,FALSE),0)</x:f>
      </x:c>
      <x:c r="K325" s="66" t="n">
        <x:f>H325-J325</x:f>
        <x:v>0</x:v>
      </x:c>
      <x:c r="L325" s="66" t="n">
        <x:f>K325*G325</x:f>
        <x:v>0</x:v>
      </x:c>
      <x:c r="M325" s="50"/>
      <x:c r="N325" s="66"/>
      <x:c r="O325" s="50"/>
    </x:row>
    <x:row r="326">
      <x:c r="A326" s="50"/>
      <x:c r="B326" s="64"/>
      <x:c r="C326" s="50"/>
      <x:c r="D326" s="50"/>
      <x:c r="E326" s="50" t="str">
        <x:f>IFERROR(VLOOKUP(D326,Inventory!$B:$D,2,FALSE),"")</x:f>
      </x:c>
      <x:c r="F326" s="50" t="str">
        <x:f>IFERROR(VLOOKUP(D326,Inventory!$B:$D,3,FALSE),"")</x:f>
      </x:c>
      <x:c r="G326" s="65" t="n">
        <x:v>0</x:v>
      </x:c>
      <x:c r="H326" s="66" t="n">
        <x:v>0</x:v>
      </x:c>
      <x:c r="I326" s="66" t="n">
        <x:f>G326*H326</x:f>
        <x:v>0</x:v>
      </x:c>
      <x:c r="J326" s="66" t="str">
        <x:f>IFERROR(VLOOKUP(D326,Inventory!$B:$F,4,FALSE),0)</x:f>
      </x:c>
      <x:c r="K326" s="66" t="n">
        <x:f>H326-J326</x:f>
        <x:v>0</x:v>
      </x:c>
      <x:c r="L326" s="66" t="n">
        <x:f>K326*G326</x:f>
        <x:v>0</x:v>
      </x:c>
      <x:c r="M326" s="50"/>
      <x:c r="N326" s="66"/>
      <x:c r="O326" s="50"/>
    </x:row>
    <x:row r="327">
      <x:c r="A327" s="50"/>
      <x:c r="B327" s="64"/>
      <x:c r="C327" s="50"/>
      <x:c r="D327" s="50"/>
      <x:c r="E327" s="50" t="str">
        <x:f>IFERROR(VLOOKUP(D327,Inventory!$B:$D,2,FALSE),"")</x:f>
      </x:c>
      <x:c r="F327" s="50" t="str">
        <x:f>IFERROR(VLOOKUP(D327,Inventory!$B:$D,3,FALSE),"")</x:f>
      </x:c>
      <x:c r="G327" s="65" t="n">
        <x:v>0</x:v>
      </x:c>
      <x:c r="H327" s="66" t="n">
        <x:v>0</x:v>
      </x:c>
      <x:c r="I327" s="66" t="n">
        <x:f>G327*H327</x:f>
        <x:v>0</x:v>
      </x:c>
      <x:c r="J327" s="66" t="str">
        <x:f>IFERROR(VLOOKUP(D327,Inventory!$B:$F,4,FALSE),0)</x:f>
      </x:c>
      <x:c r="K327" s="66" t="n">
        <x:f>H327-J327</x:f>
        <x:v>0</x:v>
      </x:c>
      <x:c r="L327" s="66" t="n">
        <x:f>K327*G327</x:f>
        <x:v>0</x:v>
      </x:c>
      <x:c r="M327" s="50"/>
      <x:c r="N327" s="66"/>
      <x:c r="O327" s="50"/>
    </x:row>
    <x:row r="328">
      <x:c r="A328" s="50"/>
      <x:c r="B328" s="64"/>
      <x:c r="C328" s="50"/>
      <x:c r="D328" s="50"/>
      <x:c r="E328" s="50" t="str">
        <x:f>IFERROR(VLOOKUP(D328,Inventory!$B:$D,2,FALSE),"")</x:f>
      </x:c>
      <x:c r="F328" s="50" t="str">
        <x:f>IFERROR(VLOOKUP(D328,Inventory!$B:$D,3,FALSE),"")</x:f>
      </x:c>
      <x:c r="G328" s="65" t="n">
        <x:v>0</x:v>
      </x:c>
      <x:c r="H328" s="66" t="n">
        <x:v>0</x:v>
      </x:c>
      <x:c r="I328" s="66" t="n">
        <x:f>G328*H328</x:f>
        <x:v>0</x:v>
      </x:c>
      <x:c r="J328" s="66" t="str">
        <x:f>IFERROR(VLOOKUP(D328,Inventory!$B:$F,4,FALSE),0)</x:f>
      </x:c>
      <x:c r="K328" s="66" t="n">
        <x:f>H328-J328</x:f>
        <x:v>0</x:v>
      </x:c>
      <x:c r="L328" s="66" t="n">
        <x:f>K328*G328</x:f>
        <x:v>0</x:v>
      </x:c>
      <x:c r="M328" s="50"/>
      <x:c r="N328" s="66"/>
      <x:c r="O328" s="50"/>
    </x:row>
    <x:row r="329">
      <x:c r="A329" s="50"/>
      <x:c r="B329" s="64"/>
      <x:c r="C329" s="50"/>
      <x:c r="D329" s="50"/>
      <x:c r="E329" s="50" t="str">
        <x:f>IFERROR(VLOOKUP(D329,Inventory!$B:$D,2,FALSE),"")</x:f>
      </x:c>
      <x:c r="F329" s="50" t="str">
        <x:f>IFERROR(VLOOKUP(D329,Inventory!$B:$D,3,FALSE),"")</x:f>
      </x:c>
      <x:c r="G329" s="65" t="n">
        <x:v>0</x:v>
      </x:c>
      <x:c r="H329" s="66" t="n">
        <x:v>0</x:v>
      </x:c>
      <x:c r="I329" s="66" t="n">
        <x:f>G329*H329</x:f>
        <x:v>0</x:v>
      </x:c>
      <x:c r="J329" s="66" t="str">
        <x:f>IFERROR(VLOOKUP(D329,Inventory!$B:$F,4,FALSE),0)</x:f>
      </x:c>
      <x:c r="K329" s="66" t="n">
        <x:f>H329-J329</x:f>
        <x:v>0</x:v>
      </x:c>
      <x:c r="L329" s="66" t="n">
        <x:f>K329*G329</x:f>
        <x:v>0</x:v>
      </x:c>
      <x:c r="M329" s="50"/>
      <x:c r="N329" s="66"/>
      <x:c r="O329" s="50"/>
    </x:row>
    <x:row r="330">
      <x:c r="A330" s="50"/>
      <x:c r="B330" s="64"/>
      <x:c r="C330" s="50"/>
      <x:c r="D330" s="50"/>
      <x:c r="E330" s="50" t="str">
        <x:f>IFERROR(VLOOKUP(D330,Inventory!$B:$D,2,FALSE),"")</x:f>
      </x:c>
      <x:c r="F330" s="50" t="str">
        <x:f>IFERROR(VLOOKUP(D330,Inventory!$B:$D,3,FALSE),"")</x:f>
      </x:c>
      <x:c r="G330" s="65" t="n">
        <x:v>0</x:v>
      </x:c>
      <x:c r="H330" s="66" t="n">
        <x:v>0</x:v>
      </x:c>
      <x:c r="I330" s="66" t="n">
        <x:f>G330*H330</x:f>
        <x:v>0</x:v>
      </x:c>
      <x:c r="J330" s="66" t="str">
        <x:f>IFERROR(VLOOKUP(D330,Inventory!$B:$F,4,FALSE),0)</x:f>
      </x:c>
      <x:c r="K330" s="66" t="n">
        <x:f>H330-J330</x:f>
        <x:v>0</x:v>
      </x:c>
      <x:c r="L330" s="66" t="n">
        <x:f>K330*G330</x:f>
        <x:v>0</x:v>
      </x:c>
      <x:c r="M330" s="50"/>
      <x:c r="N330" s="66"/>
      <x:c r="O330" s="50"/>
    </x:row>
    <x:row r="331">
      <x:c r="A331" s="50"/>
      <x:c r="B331" s="64"/>
      <x:c r="C331" s="50"/>
      <x:c r="D331" s="50"/>
      <x:c r="E331" s="50" t="str">
        <x:f>IFERROR(VLOOKUP(D331,Inventory!$B:$D,2,FALSE),"")</x:f>
      </x:c>
      <x:c r="F331" s="50" t="str">
        <x:f>IFERROR(VLOOKUP(D331,Inventory!$B:$D,3,FALSE),"")</x:f>
      </x:c>
      <x:c r="G331" s="65" t="n">
        <x:v>0</x:v>
      </x:c>
      <x:c r="H331" s="66" t="n">
        <x:v>0</x:v>
      </x:c>
      <x:c r="I331" s="66" t="n">
        <x:f>G331*H331</x:f>
        <x:v>0</x:v>
      </x:c>
      <x:c r="J331" s="66" t="str">
        <x:f>IFERROR(VLOOKUP(D331,Inventory!$B:$F,4,FALSE),0)</x:f>
      </x:c>
      <x:c r="K331" s="66" t="n">
        <x:f>H331-J331</x:f>
        <x:v>0</x:v>
      </x:c>
      <x:c r="L331" s="66" t="n">
        <x:f>K331*G331</x:f>
        <x:v>0</x:v>
      </x:c>
      <x:c r="M331" s="50"/>
      <x:c r="N331" s="66"/>
      <x:c r="O331" s="50"/>
    </x:row>
    <x:row r="332">
      <x:c r="A332" s="50"/>
      <x:c r="B332" s="64"/>
      <x:c r="C332" s="50"/>
      <x:c r="D332" s="50"/>
      <x:c r="E332" s="50" t="str">
        <x:f>IFERROR(VLOOKUP(D332,Inventory!$B:$D,2,FALSE),"")</x:f>
      </x:c>
      <x:c r="F332" s="50" t="str">
        <x:f>IFERROR(VLOOKUP(D332,Inventory!$B:$D,3,FALSE),"")</x:f>
      </x:c>
      <x:c r="G332" s="65" t="n">
        <x:v>0</x:v>
      </x:c>
      <x:c r="H332" s="66" t="n">
        <x:v>0</x:v>
      </x:c>
      <x:c r="I332" s="66" t="n">
        <x:f>G332*H332</x:f>
        <x:v>0</x:v>
      </x:c>
      <x:c r="J332" s="66" t="str">
        <x:f>IFERROR(VLOOKUP(D332,Inventory!$B:$F,4,FALSE),0)</x:f>
      </x:c>
      <x:c r="K332" s="66" t="n">
        <x:f>H332-J332</x:f>
        <x:v>0</x:v>
      </x:c>
      <x:c r="L332" s="66" t="n">
        <x:f>K332*G332</x:f>
        <x:v>0</x:v>
      </x:c>
      <x:c r="M332" s="50"/>
      <x:c r="N332" s="66"/>
      <x:c r="O332" s="50"/>
    </x:row>
    <x:row r="333">
      <x:c r="A333" s="50"/>
      <x:c r="B333" s="64"/>
      <x:c r="C333" s="50"/>
      <x:c r="D333" s="50"/>
      <x:c r="E333" s="50" t="str">
        <x:f>IFERROR(VLOOKUP(D333,Inventory!$B:$D,2,FALSE),"")</x:f>
      </x:c>
      <x:c r="F333" s="50" t="str">
        <x:f>IFERROR(VLOOKUP(D333,Inventory!$B:$D,3,FALSE),"")</x:f>
      </x:c>
      <x:c r="G333" s="65" t="n">
        <x:v>0</x:v>
      </x:c>
      <x:c r="H333" s="66" t="n">
        <x:v>0</x:v>
      </x:c>
      <x:c r="I333" s="66" t="n">
        <x:f>G333*H333</x:f>
        <x:v>0</x:v>
      </x:c>
      <x:c r="J333" s="66" t="str">
        <x:f>IFERROR(VLOOKUP(D333,Inventory!$B:$F,4,FALSE),0)</x:f>
      </x:c>
      <x:c r="K333" s="66" t="n">
        <x:f>H333-J333</x:f>
        <x:v>0</x:v>
      </x:c>
      <x:c r="L333" s="66" t="n">
        <x:f>K333*G333</x:f>
        <x:v>0</x:v>
      </x:c>
      <x:c r="M333" s="50"/>
      <x:c r="N333" s="66"/>
      <x:c r="O333" s="50"/>
    </x:row>
    <x:row r="334">
      <x:c r="A334" s="50"/>
      <x:c r="B334" s="64"/>
      <x:c r="C334" s="50"/>
      <x:c r="D334" s="50"/>
      <x:c r="E334" s="50" t="str">
        <x:f>IFERROR(VLOOKUP(D334,Inventory!$B:$D,2,FALSE),"")</x:f>
      </x:c>
      <x:c r="F334" s="50" t="str">
        <x:f>IFERROR(VLOOKUP(D334,Inventory!$B:$D,3,FALSE),"")</x:f>
      </x:c>
      <x:c r="G334" s="65" t="n">
        <x:v>0</x:v>
      </x:c>
      <x:c r="H334" s="66" t="n">
        <x:v>0</x:v>
      </x:c>
      <x:c r="I334" s="66" t="n">
        <x:f>G334*H334</x:f>
        <x:v>0</x:v>
      </x:c>
      <x:c r="J334" s="66" t="str">
        <x:f>IFERROR(VLOOKUP(D334,Inventory!$B:$F,4,FALSE),0)</x:f>
      </x:c>
      <x:c r="K334" s="66" t="n">
        <x:f>H334-J334</x:f>
        <x:v>0</x:v>
      </x:c>
      <x:c r="L334" s="66" t="n">
        <x:f>K334*G334</x:f>
        <x:v>0</x:v>
      </x:c>
      <x:c r="M334" s="50"/>
      <x:c r="N334" s="66"/>
      <x:c r="O334" s="50"/>
    </x:row>
    <x:row r="335">
      <x:c r="A335" s="50"/>
      <x:c r="B335" s="64"/>
      <x:c r="C335" s="50"/>
      <x:c r="D335" s="50"/>
      <x:c r="E335" s="50" t="str">
        <x:f>IFERROR(VLOOKUP(D335,Inventory!$B:$D,2,FALSE),"")</x:f>
      </x:c>
      <x:c r="F335" s="50" t="str">
        <x:f>IFERROR(VLOOKUP(D335,Inventory!$B:$D,3,FALSE),"")</x:f>
      </x:c>
      <x:c r="G335" s="65" t="n">
        <x:v>0</x:v>
      </x:c>
      <x:c r="H335" s="66" t="n">
        <x:v>0</x:v>
      </x:c>
      <x:c r="I335" s="66" t="n">
        <x:f>G335*H335</x:f>
        <x:v>0</x:v>
      </x:c>
      <x:c r="J335" s="66" t="str">
        <x:f>IFERROR(VLOOKUP(D335,Inventory!$B:$F,4,FALSE),0)</x:f>
      </x:c>
      <x:c r="K335" s="66" t="n">
        <x:f>H335-J335</x:f>
        <x:v>0</x:v>
      </x:c>
      <x:c r="L335" s="66" t="n">
        <x:f>K335*G335</x:f>
        <x:v>0</x:v>
      </x:c>
      <x:c r="M335" s="50"/>
      <x:c r="N335" s="66"/>
      <x:c r="O335" s="50"/>
    </x:row>
    <x:row r="336">
      <x:c r="A336" s="50"/>
      <x:c r="B336" s="64"/>
      <x:c r="C336" s="50"/>
      <x:c r="D336" s="50"/>
      <x:c r="E336" s="50" t="str">
        <x:f>IFERROR(VLOOKUP(D336,Inventory!$B:$D,2,FALSE),"")</x:f>
      </x:c>
      <x:c r="F336" s="50" t="str">
        <x:f>IFERROR(VLOOKUP(D336,Inventory!$B:$D,3,FALSE),"")</x:f>
      </x:c>
      <x:c r="G336" s="65" t="n">
        <x:v>0</x:v>
      </x:c>
      <x:c r="H336" s="66" t="n">
        <x:v>0</x:v>
      </x:c>
      <x:c r="I336" s="66" t="n">
        <x:f>G336*H336</x:f>
        <x:v>0</x:v>
      </x:c>
      <x:c r="J336" s="66" t="str">
        <x:f>IFERROR(VLOOKUP(D336,Inventory!$B:$F,4,FALSE),0)</x:f>
      </x:c>
      <x:c r="K336" s="66" t="n">
        <x:f>H336-J336</x:f>
        <x:v>0</x:v>
      </x:c>
      <x:c r="L336" s="66" t="n">
        <x:f>K336*G336</x:f>
        <x:v>0</x:v>
      </x:c>
      <x:c r="M336" s="50"/>
      <x:c r="N336" s="66"/>
      <x:c r="O336" s="50"/>
    </x:row>
    <x:row r="337">
      <x:c r="A337" s="50"/>
      <x:c r="B337" s="64"/>
      <x:c r="C337" s="50"/>
      <x:c r="D337" s="50"/>
      <x:c r="E337" s="50" t="str">
        <x:f>IFERROR(VLOOKUP(D337,Inventory!$B:$D,2,FALSE),"")</x:f>
      </x:c>
      <x:c r="F337" s="50" t="str">
        <x:f>IFERROR(VLOOKUP(D337,Inventory!$B:$D,3,FALSE),"")</x:f>
      </x:c>
      <x:c r="G337" s="65" t="n">
        <x:v>0</x:v>
      </x:c>
      <x:c r="H337" s="66" t="n">
        <x:v>0</x:v>
      </x:c>
      <x:c r="I337" s="66" t="n">
        <x:f>G337*H337</x:f>
        <x:v>0</x:v>
      </x:c>
      <x:c r="J337" s="66" t="str">
        <x:f>IFERROR(VLOOKUP(D337,Inventory!$B:$F,4,FALSE),0)</x:f>
      </x:c>
      <x:c r="K337" s="66" t="n">
        <x:f>H337-J337</x:f>
        <x:v>0</x:v>
      </x:c>
      <x:c r="L337" s="66" t="n">
        <x:f>K337*G337</x:f>
        <x:v>0</x:v>
      </x:c>
      <x:c r="M337" s="50"/>
      <x:c r="N337" s="66"/>
      <x:c r="O337" s="50"/>
    </x:row>
    <x:row r="338">
      <x:c r="A338" s="50"/>
      <x:c r="B338" s="64"/>
      <x:c r="C338" s="50"/>
      <x:c r="D338" s="50"/>
      <x:c r="E338" s="50" t="str">
        <x:f>IFERROR(VLOOKUP(D338,Inventory!$B:$D,2,FALSE),"")</x:f>
      </x:c>
      <x:c r="F338" s="50" t="str">
        <x:f>IFERROR(VLOOKUP(D338,Inventory!$B:$D,3,FALSE),"")</x:f>
      </x:c>
      <x:c r="G338" s="65" t="n">
        <x:v>0</x:v>
      </x:c>
      <x:c r="H338" s="66" t="n">
        <x:v>0</x:v>
      </x:c>
      <x:c r="I338" s="66" t="n">
        <x:f>G338*H338</x:f>
        <x:v>0</x:v>
      </x:c>
      <x:c r="J338" s="66" t="str">
        <x:f>IFERROR(VLOOKUP(D338,Inventory!$B:$F,4,FALSE),0)</x:f>
      </x:c>
      <x:c r="K338" s="66" t="n">
        <x:f>H338-J338</x:f>
        <x:v>0</x:v>
      </x:c>
      <x:c r="L338" s="66" t="n">
        <x:f>K338*G338</x:f>
        <x:v>0</x:v>
      </x:c>
      <x:c r="M338" s="50"/>
      <x:c r="N338" s="66"/>
      <x:c r="O338" s="50"/>
    </x:row>
    <x:row r="339">
      <x:c r="A339" s="50"/>
      <x:c r="B339" s="64"/>
      <x:c r="C339" s="50"/>
      <x:c r="D339" s="50"/>
      <x:c r="E339" s="50" t="str">
        <x:f>IFERROR(VLOOKUP(D339,Inventory!$B:$D,2,FALSE),"")</x:f>
      </x:c>
      <x:c r="F339" s="50" t="str">
        <x:f>IFERROR(VLOOKUP(D339,Inventory!$B:$D,3,FALSE),"")</x:f>
      </x:c>
      <x:c r="G339" s="65" t="n">
        <x:v>0</x:v>
      </x:c>
      <x:c r="H339" s="66" t="n">
        <x:v>0</x:v>
      </x:c>
      <x:c r="I339" s="66" t="n">
        <x:f>G339*H339</x:f>
        <x:v>0</x:v>
      </x:c>
      <x:c r="J339" s="66" t="str">
        <x:f>IFERROR(VLOOKUP(D339,Inventory!$B:$F,4,FALSE),0)</x:f>
      </x:c>
      <x:c r="K339" s="66" t="n">
        <x:f>H339-J339</x:f>
        <x:v>0</x:v>
      </x:c>
      <x:c r="L339" s="66" t="n">
        <x:f>K339*G339</x:f>
        <x:v>0</x:v>
      </x:c>
      <x:c r="M339" s="50"/>
      <x:c r="N339" s="66"/>
      <x:c r="O339" s="50"/>
    </x:row>
    <x:row r="340">
      <x:c r="A340" s="50"/>
      <x:c r="B340" s="64"/>
      <x:c r="C340" s="50"/>
      <x:c r="D340" s="50"/>
      <x:c r="E340" s="50" t="str">
        <x:f>IFERROR(VLOOKUP(D340,Inventory!$B:$D,2,FALSE),"")</x:f>
      </x:c>
      <x:c r="F340" s="50" t="str">
        <x:f>IFERROR(VLOOKUP(D340,Inventory!$B:$D,3,FALSE),"")</x:f>
      </x:c>
      <x:c r="G340" s="65" t="n">
        <x:v>0</x:v>
      </x:c>
      <x:c r="H340" s="66" t="n">
        <x:v>0</x:v>
      </x:c>
      <x:c r="I340" s="66" t="n">
        <x:f>G340*H340</x:f>
        <x:v>0</x:v>
      </x:c>
      <x:c r="J340" s="66" t="str">
        <x:f>IFERROR(VLOOKUP(D340,Inventory!$B:$F,4,FALSE),0)</x:f>
      </x:c>
      <x:c r="K340" s="66" t="n">
        <x:f>H340-J340</x:f>
        <x:v>0</x:v>
      </x:c>
      <x:c r="L340" s="66" t="n">
        <x:f>K340*G340</x:f>
        <x:v>0</x:v>
      </x:c>
      <x:c r="M340" s="50"/>
      <x:c r="N340" s="66"/>
      <x:c r="O340" s="50"/>
    </x:row>
    <x:row r="341">
      <x:c r="A341" s="50"/>
      <x:c r="B341" s="64"/>
      <x:c r="C341" s="50"/>
      <x:c r="D341" s="50"/>
      <x:c r="E341" s="50" t="str">
        <x:f>IFERROR(VLOOKUP(D341,Inventory!$B:$D,2,FALSE),"")</x:f>
      </x:c>
      <x:c r="F341" s="50" t="str">
        <x:f>IFERROR(VLOOKUP(D341,Inventory!$B:$D,3,FALSE),"")</x:f>
      </x:c>
      <x:c r="G341" s="65" t="n">
        <x:v>0</x:v>
      </x:c>
      <x:c r="H341" s="66" t="n">
        <x:v>0</x:v>
      </x:c>
      <x:c r="I341" s="66" t="n">
        <x:f>G341*H341</x:f>
        <x:v>0</x:v>
      </x:c>
      <x:c r="J341" s="66" t="str">
        <x:f>IFERROR(VLOOKUP(D341,Inventory!$B:$F,4,FALSE),0)</x:f>
      </x:c>
      <x:c r="K341" s="66" t="n">
        <x:f>H341-J341</x:f>
        <x:v>0</x:v>
      </x:c>
      <x:c r="L341" s="66" t="n">
        <x:f>K341*G341</x:f>
        <x:v>0</x:v>
      </x:c>
      <x:c r="M341" s="50"/>
      <x:c r="N341" s="66"/>
      <x:c r="O341" s="50"/>
    </x:row>
    <x:row r="342">
      <x:c r="A342" s="50"/>
      <x:c r="B342" s="64"/>
      <x:c r="C342" s="50"/>
      <x:c r="D342" s="50"/>
      <x:c r="E342" s="50" t="str">
        <x:f>IFERROR(VLOOKUP(D342,Inventory!$B:$D,2,FALSE),"")</x:f>
      </x:c>
      <x:c r="F342" s="50" t="str">
        <x:f>IFERROR(VLOOKUP(D342,Inventory!$B:$D,3,FALSE),"")</x:f>
      </x:c>
      <x:c r="G342" s="65" t="n">
        <x:v>0</x:v>
      </x:c>
      <x:c r="H342" s="66" t="n">
        <x:v>0</x:v>
      </x:c>
      <x:c r="I342" s="66" t="n">
        <x:f>G342*H342</x:f>
        <x:v>0</x:v>
      </x:c>
      <x:c r="J342" s="66" t="str">
        <x:f>IFERROR(VLOOKUP(D342,Inventory!$B:$F,4,FALSE),0)</x:f>
      </x:c>
      <x:c r="K342" s="66" t="n">
        <x:f>H342-J342</x:f>
        <x:v>0</x:v>
      </x:c>
      <x:c r="L342" s="66" t="n">
        <x:f>K342*G342</x:f>
        <x:v>0</x:v>
      </x:c>
      <x:c r="M342" s="50"/>
      <x:c r="N342" s="66"/>
      <x:c r="O342" s="50"/>
    </x:row>
    <x:row r="343">
      <x:c r="A343" s="50"/>
      <x:c r="B343" s="64"/>
      <x:c r="C343" s="50"/>
      <x:c r="D343" s="50"/>
      <x:c r="E343" s="50" t="str">
        <x:f>IFERROR(VLOOKUP(D343,Inventory!$B:$D,2,FALSE),"")</x:f>
      </x:c>
      <x:c r="F343" s="50" t="str">
        <x:f>IFERROR(VLOOKUP(D343,Inventory!$B:$D,3,FALSE),"")</x:f>
      </x:c>
      <x:c r="G343" s="65" t="n">
        <x:v>0</x:v>
      </x:c>
      <x:c r="H343" s="66" t="n">
        <x:v>0</x:v>
      </x:c>
      <x:c r="I343" s="66" t="n">
        <x:f>G343*H343</x:f>
        <x:v>0</x:v>
      </x:c>
      <x:c r="J343" s="66" t="str">
        <x:f>IFERROR(VLOOKUP(D343,Inventory!$B:$F,4,FALSE),0)</x:f>
      </x:c>
      <x:c r="K343" s="66" t="n">
        <x:f>H343-J343</x:f>
        <x:v>0</x:v>
      </x:c>
      <x:c r="L343" s="66" t="n">
        <x:f>K343*G343</x:f>
        <x:v>0</x:v>
      </x:c>
      <x:c r="M343" s="50"/>
      <x:c r="N343" s="66"/>
      <x:c r="O343" s="50"/>
    </x:row>
    <x:row r="344">
      <x:c r="A344" s="50"/>
      <x:c r="B344" s="64"/>
      <x:c r="C344" s="50"/>
      <x:c r="D344" s="50"/>
      <x:c r="E344" s="50" t="str">
        <x:f>IFERROR(VLOOKUP(D344,Inventory!$B:$D,2,FALSE),"")</x:f>
      </x:c>
      <x:c r="F344" s="50" t="str">
        <x:f>IFERROR(VLOOKUP(D344,Inventory!$B:$D,3,FALSE),"")</x:f>
      </x:c>
      <x:c r="G344" s="65" t="n">
        <x:v>0</x:v>
      </x:c>
      <x:c r="H344" s="66" t="n">
        <x:v>0</x:v>
      </x:c>
      <x:c r="I344" s="66" t="n">
        <x:f>G344*H344</x:f>
        <x:v>0</x:v>
      </x:c>
      <x:c r="J344" s="66" t="str">
        <x:f>IFERROR(VLOOKUP(D344,Inventory!$B:$F,4,FALSE),0)</x:f>
      </x:c>
      <x:c r="K344" s="66" t="n">
        <x:f>H344-J344</x:f>
        <x:v>0</x:v>
      </x:c>
      <x:c r="L344" s="66" t="n">
        <x:f>K344*G344</x:f>
        <x:v>0</x:v>
      </x:c>
      <x:c r="M344" s="50"/>
      <x:c r="N344" s="66"/>
      <x:c r="O344" s="50"/>
    </x:row>
    <x:row r="345">
      <x:c r="A345" s="50"/>
      <x:c r="B345" s="64"/>
      <x:c r="C345" s="50"/>
      <x:c r="D345" s="50"/>
      <x:c r="E345" s="50" t="str">
        <x:f>IFERROR(VLOOKUP(D345,Inventory!$B:$D,2,FALSE),"")</x:f>
      </x:c>
      <x:c r="F345" s="50" t="str">
        <x:f>IFERROR(VLOOKUP(D345,Inventory!$B:$D,3,FALSE),"")</x:f>
      </x:c>
      <x:c r="G345" s="65" t="n">
        <x:v>0</x:v>
      </x:c>
      <x:c r="H345" s="66" t="n">
        <x:v>0</x:v>
      </x:c>
      <x:c r="I345" s="66" t="n">
        <x:f>G345*H345</x:f>
        <x:v>0</x:v>
      </x:c>
      <x:c r="J345" s="66" t="str">
        <x:f>IFERROR(VLOOKUP(D345,Inventory!$B:$F,4,FALSE),0)</x:f>
      </x:c>
      <x:c r="K345" s="66" t="n">
        <x:f>H345-J345</x:f>
        <x:v>0</x:v>
      </x:c>
      <x:c r="L345" s="66" t="n">
        <x:f>K345*G345</x:f>
        <x:v>0</x:v>
      </x:c>
      <x:c r="M345" s="50"/>
      <x:c r="N345" s="66"/>
      <x:c r="O345" s="50"/>
    </x:row>
    <x:row r="346">
      <x:c r="A346" s="50"/>
      <x:c r="B346" s="64"/>
      <x:c r="C346" s="50"/>
      <x:c r="D346" s="50"/>
      <x:c r="E346" s="50" t="str">
        <x:f>IFERROR(VLOOKUP(D346,Inventory!$B:$D,2,FALSE),"")</x:f>
      </x:c>
      <x:c r="F346" s="50" t="str">
        <x:f>IFERROR(VLOOKUP(D346,Inventory!$B:$D,3,FALSE),"")</x:f>
      </x:c>
      <x:c r="G346" s="65" t="n">
        <x:v>0</x:v>
      </x:c>
      <x:c r="H346" s="66" t="n">
        <x:v>0</x:v>
      </x:c>
      <x:c r="I346" s="66" t="n">
        <x:f>G346*H346</x:f>
        <x:v>0</x:v>
      </x:c>
      <x:c r="J346" s="66" t="str">
        <x:f>IFERROR(VLOOKUP(D346,Inventory!$B:$F,4,FALSE),0)</x:f>
      </x:c>
      <x:c r="K346" s="66" t="n">
        <x:f>H346-J346</x:f>
        <x:v>0</x:v>
      </x:c>
      <x:c r="L346" s="66" t="n">
        <x:f>K346*G346</x:f>
        <x:v>0</x:v>
      </x:c>
      <x:c r="M346" s="50"/>
      <x:c r="N346" s="66"/>
      <x:c r="O346" s="50"/>
    </x:row>
    <x:row r="347">
      <x:c r="A347" s="50"/>
      <x:c r="B347" s="64"/>
      <x:c r="C347" s="50"/>
      <x:c r="D347" s="50"/>
      <x:c r="E347" s="50" t="str">
        <x:f>IFERROR(VLOOKUP(D347,Inventory!$B:$D,2,FALSE),"")</x:f>
      </x:c>
      <x:c r="F347" s="50" t="str">
        <x:f>IFERROR(VLOOKUP(D347,Inventory!$B:$D,3,FALSE),"")</x:f>
      </x:c>
      <x:c r="G347" s="65" t="n">
        <x:v>0</x:v>
      </x:c>
      <x:c r="H347" s="66" t="n">
        <x:v>0</x:v>
      </x:c>
      <x:c r="I347" s="66" t="n">
        <x:f>G347*H347</x:f>
        <x:v>0</x:v>
      </x:c>
      <x:c r="J347" s="66" t="str">
        <x:f>IFERROR(VLOOKUP(D347,Inventory!$B:$F,4,FALSE),0)</x:f>
      </x:c>
      <x:c r="K347" s="66" t="n">
        <x:f>H347-J347</x:f>
        <x:v>0</x:v>
      </x:c>
      <x:c r="L347" s="66" t="n">
        <x:f>K347*G347</x:f>
        <x:v>0</x:v>
      </x:c>
      <x:c r="M347" s="50"/>
      <x:c r="N347" s="66"/>
      <x:c r="O347" s="50"/>
    </x:row>
    <x:row r="348">
      <x:c r="A348" s="50"/>
      <x:c r="B348" s="64"/>
      <x:c r="C348" s="50"/>
      <x:c r="D348" s="50"/>
      <x:c r="E348" s="50" t="str">
        <x:f>IFERROR(VLOOKUP(D348,Inventory!$B:$D,2,FALSE),"")</x:f>
      </x:c>
      <x:c r="F348" s="50" t="str">
        <x:f>IFERROR(VLOOKUP(D348,Inventory!$B:$D,3,FALSE),"")</x:f>
      </x:c>
      <x:c r="G348" s="65" t="n">
        <x:v>0</x:v>
      </x:c>
      <x:c r="H348" s="66" t="n">
        <x:v>0</x:v>
      </x:c>
      <x:c r="I348" s="66" t="n">
        <x:f>G348*H348</x:f>
        <x:v>0</x:v>
      </x:c>
      <x:c r="J348" s="66" t="str">
        <x:f>IFERROR(VLOOKUP(D348,Inventory!$B:$F,4,FALSE),0)</x:f>
      </x:c>
      <x:c r="K348" s="66" t="n">
        <x:f>H348-J348</x:f>
        <x:v>0</x:v>
      </x:c>
      <x:c r="L348" s="66" t="n">
        <x:f>K348*G348</x:f>
        <x:v>0</x:v>
      </x:c>
      <x:c r="M348" s="50"/>
      <x:c r="N348" s="66"/>
      <x:c r="O348" s="50"/>
    </x:row>
    <x:row r="349">
      <x:c r="A349" s="50"/>
      <x:c r="B349" s="64"/>
      <x:c r="C349" s="50"/>
      <x:c r="D349" s="50"/>
      <x:c r="E349" s="50" t="str">
        <x:f>IFERROR(VLOOKUP(D349,Inventory!$B:$D,2,FALSE),"")</x:f>
      </x:c>
      <x:c r="F349" s="50" t="str">
        <x:f>IFERROR(VLOOKUP(D349,Inventory!$B:$D,3,FALSE),"")</x:f>
      </x:c>
      <x:c r="G349" s="65" t="n">
        <x:v>0</x:v>
      </x:c>
      <x:c r="H349" s="66" t="n">
        <x:v>0</x:v>
      </x:c>
      <x:c r="I349" s="66" t="n">
        <x:f>G349*H349</x:f>
        <x:v>0</x:v>
      </x:c>
      <x:c r="J349" s="66" t="str">
        <x:f>IFERROR(VLOOKUP(D349,Inventory!$B:$F,4,FALSE),0)</x:f>
      </x:c>
      <x:c r="K349" s="66" t="n">
        <x:f>H349-J349</x:f>
        <x:v>0</x:v>
      </x:c>
      <x:c r="L349" s="66" t="n">
        <x:f>K349*G349</x:f>
        <x:v>0</x:v>
      </x:c>
      <x:c r="M349" s="50"/>
      <x:c r="N349" s="66"/>
      <x:c r="O349" s="50"/>
    </x:row>
    <x:row r="350">
      <x:c r="A350" s="50"/>
      <x:c r="B350" s="64"/>
      <x:c r="C350" s="50"/>
      <x:c r="D350" s="50"/>
      <x:c r="E350" s="50" t="str">
        <x:f>IFERROR(VLOOKUP(D350,Inventory!$B:$D,2,FALSE),"")</x:f>
      </x:c>
      <x:c r="F350" s="50" t="str">
        <x:f>IFERROR(VLOOKUP(D350,Inventory!$B:$D,3,FALSE),"")</x:f>
      </x:c>
      <x:c r="G350" s="65" t="n">
        <x:v>0</x:v>
      </x:c>
      <x:c r="H350" s="66" t="n">
        <x:v>0</x:v>
      </x:c>
      <x:c r="I350" s="66" t="n">
        <x:f>G350*H350</x:f>
        <x:v>0</x:v>
      </x:c>
      <x:c r="J350" s="66" t="str">
        <x:f>IFERROR(VLOOKUP(D350,Inventory!$B:$F,4,FALSE),0)</x:f>
      </x:c>
      <x:c r="K350" s="66" t="n">
        <x:f>H350-J350</x:f>
        <x:v>0</x:v>
      </x:c>
      <x:c r="L350" s="66" t="n">
        <x:f>K350*G350</x:f>
        <x:v>0</x:v>
      </x:c>
      <x:c r="M350" s="50"/>
      <x:c r="N350" s="66"/>
      <x:c r="O350" s="50"/>
    </x:row>
    <x:row r="351">
      <x:c r="A351" s="50"/>
      <x:c r="B351" s="64"/>
      <x:c r="C351" s="50"/>
      <x:c r="D351" s="50"/>
      <x:c r="E351" s="50" t="str">
        <x:f>IFERROR(VLOOKUP(D351,Inventory!$B:$D,2,FALSE),"")</x:f>
      </x:c>
      <x:c r="F351" s="50" t="str">
        <x:f>IFERROR(VLOOKUP(D351,Inventory!$B:$D,3,FALSE),"")</x:f>
      </x:c>
      <x:c r="G351" s="65" t="n">
        <x:v>0</x:v>
      </x:c>
      <x:c r="H351" s="66" t="n">
        <x:v>0</x:v>
      </x:c>
      <x:c r="I351" s="66" t="n">
        <x:f>G351*H351</x:f>
        <x:v>0</x:v>
      </x:c>
      <x:c r="J351" s="66" t="str">
        <x:f>IFERROR(VLOOKUP(D351,Inventory!$B:$F,4,FALSE),0)</x:f>
      </x:c>
      <x:c r="K351" s="66" t="n">
        <x:f>H351-J351</x:f>
        <x:v>0</x:v>
      </x:c>
      <x:c r="L351" s="66" t="n">
        <x:f>K351*G351</x:f>
        <x:v>0</x:v>
      </x:c>
      <x:c r="M351" s="50"/>
      <x:c r="N351" s="66"/>
      <x:c r="O351" s="50"/>
    </x:row>
    <x:row r="352">
      <x:c r="A352" s="50"/>
      <x:c r="B352" s="64"/>
      <x:c r="C352" s="50"/>
      <x:c r="D352" s="50"/>
      <x:c r="E352" s="50" t="str">
        <x:f>IFERROR(VLOOKUP(D352,Inventory!$B:$D,2,FALSE),"")</x:f>
      </x:c>
      <x:c r="F352" s="50" t="str">
        <x:f>IFERROR(VLOOKUP(D352,Inventory!$B:$D,3,FALSE),"")</x:f>
      </x:c>
      <x:c r="G352" s="65" t="n">
        <x:v>0</x:v>
      </x:c>
      <x:c r="H352" s="66" t="n">
        <x:v>0</x:v>
      </x:c>
      <x:c r="I352" s="66" t="n">
        <x:f>G352*H352</x:f>
        <x:v>0</x:v>
      </x:c>
      <x:c r="J352" s="66" t="str">
        <x:f>IFERROR(VLOOKUP(D352,Inventory!$B:$F,4,FALSE),0)</x:f>
      </x:c>
      <x:c r="K352" s="66" t="n">
        <x:f>H352-J352</x:f>
        <x:v>0</x:v>
      </x:c>
      <x:c r="L352" s="66" t="n">
        <x:f>K352*G352</x:f>
        <x:v>0</x:v>
      </x:c>
      <x:c r="M352" s="50"/>
      <x:c r="N352" s="66"/>
      <x:c r="O352" s="50"/>
    </x:row>
    <x:row r="353">
      <x:c r="A353" s="50"/>
      <x:c r="B353" s="64"/>
      <x:c r="C353" s="50"/>
      <x:c r="D353" s="50"/>
      <x:c r="E353" s="50" t="str">
        <x:f>IFERROR(VLOOKUP(D353,Inventory!$B:$D,2,FALSE),"")</x:f>
      </x:c>
      <x:c r="F353" s="50" t="str">
        <x:f>IFERROR(VLOOKUP(D353,Inventory!$B:$D,3,FALSE),"")</x:f>
      </x:c>
      <x:c r="G353" s="65" t="n">
        <x:v>0</x:v>
      </x:c>
      <x:c r="H353" s="66" t="n">
        <x:v>0</x:v>
      </x:c>
      <x:c r="I353" s="66" t="n">
        <x:f>G353*H353</x:f>
        <x:v>0</x:v>
      </x:c>
      <x:c r="J353" s="66" t="str">
        <x:f>IFERROR(VLOOKUP(D353,Inventory!$B:$F,4,FALSE),0)</x:f>
      </x:c>
      <x:c r="K353" s="66" t="n">
        <x:f>H353-J353</x:f>
        <x:v>0</x:v>
      </x:c>
      <x:c r="L353" s="66" t="n">
        <x:f>K353*G353</x:f>
        <x:v>0</x:v>
      </x:c>
      <x:c r="M353" s="50"/>
      <x:c r="N353" s="66"/>
      <x:c r="O353" s="50"/>
    </x:row>
    <x:row r="354">
      <x:c r="A354" s="50"/>
      <x:c r="B354" s="64"/>
      <x:c r="C354" s="50"/>
      <x:c r="D354" s="50"/>
      <x:c r="E354" s="50" t="str">
        <x:f>IFERROR(VLOOKUP(D354,Inventory!$B:$D,2,FALSE),"")</x:f>
      </x:c>
      <x:c r="F354" s="50" t="str">
        <x:f>IFERROR(VLOOKUP(D354,Inventory!$B:$D,3,FALSE),"")</x:f>
      </x:c>
      <x:c r="G354" s="65" t="n">
        <x:v>0</x:v>
      </x:c>
      <x:c r="H354" s="66" t="n">
        <x:v>0</x:v>
      </x:c>
      <x:c r="I354" s="66" t="n">
        <x:f>G354*H354</x:f>
        <x:v>0</x:v>
      </x:c>
      <x:c r="J354" s="66" t="str">
        <x:f>IFERROR(VLOOKUP(D354,Inventory!$B:$F,4,FALSE),0)</x:f>
      </x:c>
      <x:c r="K354" s="66" t="n">
        <x:f>H354-J354</x:f>
        <x:v>0</x:v>
      </x:c>
      <x:c r="L354" s="66" t="n">
        <x:f>K354*G354</x:f>
        <x:v>0</x:v>
      </x:c>
      <x:c r="M354" s="50"/>
      <x:c r="N354" s="66"/>
      <x:c r="O354" s="50"/>
    </x:row>
    <x:row r="355">
      <x:c r="A355" s="50"/>
      <x:c r="B355" s="64"/>
      <x:c r="C355" s="50"/>
      <x:c r="D355" s="50"/>
      <x:c r="E355" s="50" t="str">
        <x:f>IFERROR(VLOOKUP(D355,Inventory!$B:$D,2,FALSE),"")</x:f>
      </x:c>
      <x:c r="F355" s="50" t="str">
        <x:f>IFERROR(VLOOKUP(D355,Inventory!$B:$D,3,FALSE),"")</x:f>
      </x:c>
      <x:c r="G355" s="65" t="n">
        <x:v>0</x:v>
      </x:c>
      <x:c r="H355" s="66" t="n">
        <x:v>0</x:v>
      </x:c>
      <x:c r="I355" s="66" t="n">
        <x:f>G355*H355</x:f>
        <x:v>0</x:v>
      </x:c>
      <x:c r="J355" s="66" t="str">
        <x:f>IFERROR(VLOOKUP(D355,Inventory!$B:$F,4,FALSE),0)</x:f>
      </x:c>
      <x:c r="K355" s="66" t="n">
        <x:f>H355-J355</x:f>
        <x:v>0</x:v>
      </x:c>
      <x:c r="L355" s="66" t="n">
        <x:f>K355*G355</x:f>
        <x:v>0</x:v>
      </x:c>
      <x:c r="M355" s="50"/>
      <x:c r="N355" s="66"/>
      <x:c r="O355" s="50"/>
    </x:row>
    <x:row r="356">
      <x:c r="A356" s="50"/>
      <x:c r="B356" s="64"/>
      <x:c r="C356" s="50"/>
      <x:c r="D356" s="50"/>
      <x:c r="E356" s="50" t="str">
        <x:f>IFERROR(VLOOKUP(D356,Inventory!$B:$D,2,FALSE),"")</x:f>
      </x:c>
      <x:c r="F356" s="50" t="str">
        <x:f>IFERROR(VLOOKUP(D356,Inventory!$B:$D,3,FALSE),"")</x:f>
      </x:c>
      <x:c r="G356" s="65" t="n">
        <x:v>0</x:v>
      </x:c>
      <x:c r="H356" s="66" t="n">
        <x:v>0</x:v>
      </x:c>
      <x:c r="I356" s="66" t="n">
        <x:f>G356*H356</x:f>
        <x:v>0</x:v>
      </x:c>
      <x:c r="J356" s="66" t="str">
        <x:f>IFERROR(VLOOKUP(D356,Inventory!$B:$F,4,FALSE),0)</x:f>
      </x:c>
      <x:c r="K356" s="66" t="n">
        <x:f>H356-J356</x:f>
        <x:v>0</x:v>
      </x:c>
      <x:c r="L356" s="66" t="n">
        <x:f>K356*G356</x:f>
        <x:v>0</x:v>
      </x:c>
      <x:c r="M356" s="50"/>
      <x:c r="N356" s="66"/>
      <x:c r="O356" s="50"/>
    </x:row>
    <x:row r="357">
      <x:c r="A357" s="50"/>
      <x:c r="B357" s="64"/>
      <x:c r="C357" s="50"/>
      <x:c r="D357" s="50"/>
      <x:c r="E357" s="50" t="str">
        <x:f>IFERROR(VLOOKUP(D357,Inventory!$B:$D,2,FALSE),"")</x:f>
      </x:c>
      <x:c r="F357" s="50" t="str">
        <x:f>IFERROR(VLOOKUP(D357,Inventory!$B:$D,3,FALSE),"")</x:f>
      </x:c>
      <x:c r="G357" s="65" t="n">
        <x:v>0</x:v>
      </x:c>
      <x:c r="H357" s="66" t="n">
        <x:v>0</x:v>
      </x:c>
      <x:c r="I357" s="66" t="n">
        <x:f>G357*H357</x:f>
        <x:v>0</x:v>
      </x:c>
      <x:c r="J357" s="66" t="str">
        <x:f>IFERROR(VLOOKUP(D357,Inventory!$B:$F,4,FALSE),0)</x:f>
      </x:c>
      <x:c r="K357" s="66" t="n">
        <x:f>H357-J357</x:f>
        <x:v>0</x:v>
      </x:c>
      <x:c r="L357" s="66" t="n">
        <x:f>K357*G357</x:f>
        <x:v>0</x:v>
      </x:c>
      <x:c r="M357" s="50"/>
      <x:c r="N357" s="66"/>
      <x:c r="O357" s="50"/>
    </x:row>
    <x:row r="358">
      <x:c r="A358" s="50"/>
      <x:c r="B358" s="64"/>
      <x:c r="C358" s="50"/>
      <x:c r="D358" s="50"/>
      <x:c r="E358" s="50" t="str">
        <x:f>IFERROR(VLOOKUP(D358,Inventory!$B:$D,2,FALSE),"")</x:f>
      </x:c>
      <x:c r="F358" s="50" t="str">
        <x:f>IFERROR(VLOOKUP(D358,Inventory!$B:$D,3,FALSE),"")</x:f>
      </x:c>
      <x:c r="G358" s="65" t="n">
        <x:v>0</x:v>
      </x:c>
      <x:c r="H358" s="66" t="n">
        <x:v>0</x:v>
      </x:c>
      <x:c r="I358" s="66" t="n">
        <x:f>G358*H358</x:f>
        <x:v>0</x:v>
      </x:c>
      <x:c r="J358" s="66" t="str">
        <x:f>IFERROR(VLOOKUP(D358,Inventory!$B:$F,4,FALSE),0)</x:f>
      </x:c>
      <x:c r="K358" s="66" t="n">
        <x:f>H358-J358</x:f>
        <x:v>0</x:v>
      </x:c>
      <x:c r="L358" s="66" t="n">
        <x:f>K358*G358</x:f>
        <x:v>0</x:v>
      </x:c>
      <x:c r="M358" s="50"/>
      <x:c r="N358" s="66"/>
      <x:c r="O358" s="50"/>
    </x:row>
    <x:row r="359">
      <x:c r="A359" s="50"/>
      <x:c r="B359" s="64"/>
      <x:c r="C359" s="50"/>
      <x:c r="D359" s="50"/>
      <x:c r="E359" s="50" t="str">
        <x:f>IFERROR(VLOOKUP(D359,Inventory!$B:$D,2,FALSE),"")</x:f>
      </x:c>
      <x:c r="F359" s="50" t="str">
        <x:f>IFERROR(VLOOKUP(D359,Inventory!$B:$D,3,FALSE),"")</x:f>
      </x:c>
      <x:c r="G359" s="65" t="n">
        <x:v>0</x:v>
      </x:c>
      <x:c r="H359" s="66" t="n">
        <x:v>0</x:v>
      </x:c>
      <x:c r="I359" s="66" t="n">
        <x:f>G359*H359</x:f>
        <x:v>0</x:v>
      </x:c>
      <x:c r="J359" s="66" t="str">
        <x:f>IFERROR(VLOOKUP(D359,Inventory!$B:$F,4,FALSE),0)</x:f>
      </x:c>
      <x:c r="K359" s="66" t="n">
        <x:f>H359-J359</x:f>
        <x:v>0</x:v>
      </x:c>
      <x:c r="L359" s="66" t="n">
        <x:f>K359*G359</x:f>
        <x:v>0</x:v>
      </x:c>
      <x:c r="M359" s="50"/>
      <x:c r="N359" s="66"/>
      <x:c r="O359" s="50"/>
    </x:row>
    <x:row r="360">
      <x:c r="A360" s="50"/>
      <x:c r="B360" s="64"/>
      <x:c r="C360" s="50"/>
      <x:c r="D360" s="50"/>
      <x:c r="E360" s="50" t="str">
        <x:f>IFERROR(VLOOKUP(D360,Inventory!$B:$D,2,FALSE),"")</x:f>
      </x:c>
      <x:c r="F360" s="50" t="str">
        <x:f>IFERROR(VLOOKUP(D360,Inventory!$B:$D,3,FALSE),"")</x:f>
      </x:c>
      <x:c r="G360" s="65" t="n">
        <x:v>0</x:v>
      </x:c>
      <x:c r="H360" s="66" t="n">
        <x:v>0</x:v>
      </x:c>
      <x:c r="I360" s="66" t="n">
        <x:f>G360*H360</x:f>
        <x:v>0</x:v>
      </x:c>
      <x:c r="J360" s="66" t="str">
        <x:f>IFERROR(VLOOKUP(D360,Inventory!$B:$F,4,FALSE),0)</x:f>
      </x:c>
      <x:c r="K360" s="66" t="n">
        <x:f>H360-J360</x:f>
        <x:v>0</x:v>
      </x:c>
      <x:c r="L360" s="66" t="n">
        <x:f>K360*G360</x:f>
        <x:v>0</x:v>
      </x:c>
      <x:c r="M360" s="50"/>
      <x:c r="N360" s="66"/>
      <x:c r="O360" s="50"/>
    </x:row>
    <x:row r="361">
      <x:c r="A361" s="50"/>
      <x:c r="B361" s="64"/>
      <x:c r="C361" s="50"/>
      <x:c r="D361" s="50"/>
      <x:c r="E361" s="50" t="str">
        <x:f>IFERROR(VLOOKUP(D361,Inventory!$B:$D,2,FALSE),"")</x:f>
      </x:c>
      <x:c r="F361" s="50" t="str">
        <x:f>IFERROR(VLOOKUP(D361,Inventory!$B:$D,3,FALSE),"")</x:f>
      </x:c>
      <x:c r="G361" s="65" t="n">
        <x:v>0</x:v>
      </x:c>
      <x:c r="H361" s="66" t="n">
        <x:v>0</x:v>
      </x:c>
      <x:c r="I361" s="66" t="n">
        <x:f>G361*H361</x:f>
        <x:v>0</x:v>
      </x:c>
      <x:c r="J361" s="66" t="str">
        <x:f>IFERROR(VLOOKUP(D361,Inventory!$B:$F,4,FALSE),0)</x:f>
      </x:c>
      <x:c r="K361" s="66" t="n">
        <x:f>H361-J361</x:f>
        <x:v>0</x:v>
      </x:c>
      <x:c r="L361" s="66" t="n">
        <x:f>K361*G361</x:f>
        <x:v>0</x:v>
      </x:c>
      <x:c r="M361" s="50"/>
      <x:c r="N361" s="66"/>
      <x:c r="O361" s="50"/>
    </x:row>
    <x:row r="362">
      <x:c r="A362" s="50"/>
      <x:c r="B362" s="64"/>
      <x:c r="C362" s="50"/>
      <x:c r="D362" s="50"/>
      <x:c r="E362" s="50" t="str">
        <x:f>IFERROR(VLOOKUP(D362,Inventory!$B:$D,2,FALSE),"")</x:f>
      </x:c>
      <x:c r="F362" s="50" t="str">
        <x:f>IFERROR(VLOOKUP(D362,Inventory!$B:$D,3,FALSE),"")</x:f>
      </x:c>
      <x:c r="G362" s="65" t="n">
        <x:v>0</x:v>
      </x:c>
      <x:c r="H362" s="66" t="n">
        <x:v>0</x:v>
      </x:c>
      <x:c r="I362" s="66" t="n">
        <x:f>G362*H362</x:f>
        <x:v>0</x:v>
      </x:c>
      <x:c r="J362" s="66" t="str">
        <x:f>IFERROR(VLOOKUP(D362,Inventory!$B:$F,4,FALSE),0)</x:f>
      </x:c>
      <x:c r="K362" s="66" t="n">
        <x:f>H362-J362</x:f>
        <x:v>0</x:v>
      </x:c>
      <x:c r="L362" s="66" t="n">
        <x:f>K362*G362</x:f>
        <x:v>0</x:v>
      </x:c>
      <x:c r="M362" s="50"/>
      <x:c r="N362" s="66"/>
      <x:c r="O362" s="50"/>
    </x:row>
    <x:row r="363">
      <x:c r="A363" s="50"/>
      <x:c r="B363" s="64"/>
      <x:c r="C363" s="50"/>
      <x:c r="D363" s="50"/>
      <x:c r="E363" s="50" t="str">
        <x:f>IFERROR(VLOOKUP(D363,Inventory!$B:$D,2,FALSE),"")</x:f>
      </x:c>
      <x:c r="F363" s="50" t="str">
        <x:f>IFERROR(VLOOKUP(D363,Inventory!$B:$D,3,FALSE),"")</x:f>
      </x:c>
      <x:c r="G363" s="65" t="n">
        <x:v>0</x:v>
      </x:c>
      <x:c r="H363" s="66" t="n">
        <x:v>0</x:v>
      </x:c>
      <x:c r="I363" s="66" t="n">
        <x:f>G363*H363</x:f>
        <x:v>0</x:v>
      </x:c>
      <x:c r="J363" s="66" t="str">
        <x:f>IFERROR(VLOOKUP(D363,Inventory!$B:$F,4,FALSE),0)</x:f>
      </x:c>
      <x:c r="K363" s="66" t="n">
        <x:f>H363-J363</x:f>
        <x:v>0</x:v>
      </x:c>
      <x:c r="L363" s="66" t="n">
        <x:f>K363*G363</x:f>
        <x:v>0</x:v>
      </x:c>
      <x:c r="M363" s="50"/>
      <x:c r="N363" s="66"/>
      <x:c r="O363" s="50"/>
    </x:row>
    <x:row r="364">
      <x:c r="A364" s="50"/>
      <x:c r="B364" s="64"/>
      <x:c r="C364" s="50"/>
      <x:c r="D364" s="50"/>
      <x:c r="E364" s="50" t="str">
        <x:f>IFERROR(VLOOKUP(D364,Inventory!$B:$D,2,FALSE),"")</x:f>
      </x:c>
      <x:c r="F364" s="50" t="str">
        <x:f>IFERROR(VLOOKUP(D364,Inventory!$B:$D,3,FALSE),"")</x:f>
      </x:c>
      <x:c r="G364" s="65" t="n">
        <x:v>0</x:v>
      </x:c>
      <x:c r="H364" s="66" t="n">
        <x:v>0</x:v>
      </x:c>
      <x:c r="I364" s="66" t="n">
        <x:f>G364*H364</x:f>
        <x:v>0</x:v>
      </x:c>
      <x:c r="J364" s="66" t="str">
        <x:f>IFERROR(VLOOKUP(D364,Inventory!$B:$F,4,FALSE),0)</x:f>
      </x:c>
      <x:c r="K364" s="66" t="n">
        <x:f>H364-J364</x:f>
        <x:v>0</x:v>
      </x:c>
      <x:c r="L364" s="66" t="n">
        <x:f>K364*G364</x:f>
        <x:v>0</x:v>
      </x:c>
      <x:c r="M364" s="50"/>
      <x:c r="N364" s="66"/>
      <x:c r="O364" s="50"/>
    </x:row>
    <x:row r="365">
      <x:c r="A365" s="50"/>
      <x:c r="B365" s="64"/>
      <x:c r="C365" s="50"/>
      <x:c r="D365" s="50"/>
      <x:c r="E365" s="50" t="str">
        <x:f>IFERROR(VLOOKUP(D365,Inventory!$B:$D,2,FALSE),"")</x:f>
      </x:c>
      <x:c r="F365" s="50" t="str">
        <x:f>IFERROR(VLOOKUP(D365,Inventory!$B:$D,3,FALSE),"")</x:f>
      </x:c>
      <x:c r="G365" s="65" t="n">
        <x:v>0</x:v>
      </x:c>
      <x:c r="H365" s="66" t="n">
        <x:v>0</x:v>
      </x:c>
      <x:c r="I365" s="66" t="n">
        <x:f>G365*H365</x:f>
        <x:v>0</x:v>
      </x:c>
      <x:c r="J365" s="66" t="str">
        <x:f>IFERROR(VLOOKUP(D365,Inventory!$B:$F,4,FALSE),0)</x:f>
      </x:c>
      <x:c r="K365" s="66" t="n">
        <x:f>H365-J365</x:f>
        <x:v>0</x:v>
      </x:c>
      <x:c r="L365" s="66" t="n">
        <x:f>K365*G365</x:f>
        <x:v>0</x:v>
      </x:c>
      <x:c r="M365" s="50"/>
      <x:c r="N365" s="66"/>
      <x:c r="O365" s="50"/>
    </x:row>
    <x:row r="366">
      <x:c r="A366" s="50"/>
      <x:c r="B366" s="64"/>
      <x:c r="C366" s="50"/>
      <x:c r="D366" s="50"/>
      <x:c r="E366" s="50" t="str">
        <x:f>IFERROR(VLOOKUP(D366,Inventory!$B:$D,2,FALSE),"")</x:f>
      </x:c>
      <x:c r="F366" s="50" t="str">
        <x:f>IFERROR(VLOOKUP(D366,Inventory!$B:$D,3,FALSE),"")</x:f>
      </x:c>
      <x:c r="G366" s="65" t="n">
        <x:v>0</x:v>
      </x:c>
      <x:c r="H366" s="66" t="n">
        <x:v>0</x:v>
      </x:c>
      <x:c r="I366" s="66" t="n">
        <x:f>G366*H366</x:f>
        <x:v>0</x:v>
      </x:c>
      <x:c r="J366" s="66" t="str">
        <x:f>IFERROR(VLOOKUP(D366,Inventory!$B:$F,4,FALSE),0)</x:f>
      </x:c>
      <x:c r="K366" s="66" t="n">
        <x:f>H366-J366</x:f>
        <x:v>0</x:v>
      </x:c>
      <x:c r="L366" s="66" t="n">
        <x:f>K366*G366</x:f>
        <x:v>0</x:v>
      </x:c>
      <x:c r="M366" s="50"/>
      <x:c r="N366" s="66"/>
      <x:c r="O366" s="50"/>
    </x:row>
    <x:row r="367">
      <x:c r="A367" s="50"/>
      <x:c r="B367" s="64"/>
      <x:c r="C367" s="50"/>
      <x:c r="D367" s="50"/>
      <x:c r="E367" s="50" t="str">
        <x:f>IFERROR(VLOOKUP(D367,Inventory!$B:$D,2,FALSE),"")</x:f>
      </x:c>
      <x:c r="F367" s="50" t="str">
        <x:f>IFERROR(VLOOKUP(D367,Inventory!$B:$D,3,FALSE),"")</x:f>
      </x:c>
      <x:c r="G367" s="65" t="n">
        <x:v>0</x:v>
      </x:c>
      <x:c r="H367" s="66" t="n">
        <x:v>0</x:v>
      </x:c>
      <x:c r="I367" s="66" t="n">
        <x:f>G367*H367</x:f>
        <x:v>0</x:v>
      </x:c>
      <x:c r="J367" s="66" t="str">
        <x:f>IFERROR(VLOOKUP(D367,Inventory!$B:$F,4,FALSE),0)</x:f>
      </x:c>
      <x:c r="K367" s="66" t="n">
        <x:f>H367-J367</x:f>
        <x:v>0</x:v>
      </x:c>
      <x:c r="L367" s="66" t="n">
        <x:f>K367*G367</x:f>
        <x:v>0</x:v>
      </x:c>
      <x:c r="M367" s="50"/>
      <x:c r="N367" s="66"/>
      <x:c r="O367" s="50"/>
    </x:row>
    <x:row r="368">
      <x:c r="A368" s="50"/>
      <x:c r="B368" s="64"/>
      <x:c r="C368" s="50"/>
      <x:c r="D368" s="50"/>
      <x:c r="E368" s="50" t="str">
        <x:f>IFERROR(VLOOKUP(D368,Inventory!$B:$D,2,FALSE),"")</x:f>
      </x:c>
      <x:c r="F368" s="50" t="str">
        <x:f>IFERROR(VLOOKUP(D368,Inventory!$B:$D,3,FALSE),"")</x:f>
      </x:c>
      <x:c r="G368" s="65" t="n">
        <x:v>0</x:v>
      </x:c>
      <x:c r="H368" s="66" t="n">
        <x:v>0</x:v>
      </x:c>
      <x:c r="I368" s="66" t="n">
        <x:f>G368*H368</x:f>
        <x:v>0</x:v>
      </x:c>
      <x:c r="J368" s="66" t="str">
        <x:f>IFERROR(VLOOKUP(D368,Inventory!$B:$F,4,FALSE),0)</x:f>
      </x:c>
      <x:c r="K368" s="66" t="n">
        <x:f>H368-J368</x:f>
        <x:v>0</x:v>
      </x:c>
      <x:c r="L368" s="66" t="n">
        <x:f>K368*G368</x:f>
        <x:v>0</x:v>
      </x:c>
      <x:c r="M368" s="50"/>
      <x:c r="N368" s="66"/>
      <x:c r="O368" s="50"/>
    </x:row>
    <x:row r="369">
      <x:c r="A369" s="50"/>
      <x:c r="B369" s="64"/>
      <x:c r="C369" s="50"/>
      <x:c r="D369" s="50"/>
      <x:c r="E369" s="50" t="str">
        <x:f>IFERROR(VLOOKUP(D369,Inventory!$B:$D,2,FALSE),"")</x:f>
      </x:c>
      <x:c r="F369" s="50" t="str">
        <x:f>IFERROR(VLOOKUP(D369,Inventory!$B:$D,3,FALSE),"")</x:f>
      </x:c>
      <x:c r="G369" s="65" t="n">
        <x:v>0</x:v>
      </x:c>
      <x:c r="H369" s="66" t="n">
        <x:v>0</x:v>
      </x:c>
      <x:c r="I369" s="66" t="n">
        <x:f>G369*H369</x:f>
        <x:v>0</x:v>
      </x:c>
      <x:c r="J369" s="66" t="str">
        <x:f>IFERROR(VLOOKUP(D369,Inventory!$B:$F,4,FALSE),0)</x:f>
      </x:c>
      <x:c r="K369" s="66" t="n">
        <x:f>H369-J369</x:f>
        <x:v>0</x:v>
      </x:c>
      <x:c r="L369" s="66" t="n">
        <x:f>K369*G369</x:f>
        <x:v>0</x:v>
      </x:c>
      <x:c r="M369" s="50"/>
      <x:c r="N369" s="66"/>
      <x:c r="O369" s="50"/>
    </x:row>
    <x:row r="370">
      <x:c r="A370" s="50"/>
      <x:c r="B370" s="64"/>
      <x:c r="C370" s="50"/>
      <x:c r="D370" s="50"/>
      <x:c r="E370" s="50" t="str">
        <x:f>IFERROR(VLOOKUP(D370,Inventory!$B:$D,2,FALSE),"")</x:f>
      </x:c>
      <x:c r="F370" s="50" t="str">
        <x:f>IFERROR(VLOOKUP(D370,Inventory!$B:$D,3,FALSE),"")</x:f>
      </x:c>
      <x:c r="G370" s="65" t="n">
        <x:v>0</x:v>
      </x:c>
      <x:c r="H370" s="66" t="n">
        <x:v>0</x:v>
      </x:c>
      <x:c r="I370" s="66" t="n">
        <x:f>G370*H370</x:f>
        <x:v>0</x:v>
      </x:c>
      <x:c r="J370" s="66" t="str">
        <x:f>IFERROR(VLOOKUP(D370,Inventory!$B:$F,4,FALSE),0)</x:f>
      </x:c>
      <x:c r="K370" s="66" t="n">
        <x:f>H370-J370</x:f>
        <x:v>0</x:v>
      </x:c>
      <x:c r="L370" s="66" t="n">
        <x:f>K370*G370</x:f>
        <x:v>0</x:v>
      </x:c>
      <x:c r="M370" s="50"/>
      <x:c r="N370" s="66"/>
      <x:c r="O370" s="50"/>
    </x:row>
    <x:row r="371">
      <x:c r="A371" s="50"/>
      <x:c r="B371" s="64"/>
      <x:c r="C371" s="50"/>
      <x:c r="D371" s="50"/>
      <x:c r="E371" s="50" t="str">
        <x:f>IFERROR(VLOOKUP(D371,Inventory!$B:$D,2,FALSE),"")</x:f>
      </x:c>
      <x:c r="F371" s="50" t="str">
        <x:f>IFERROR(VLOOKUP(D371,Inventory!$B:$D,3,FALSE),"")</x:f>
      </x:c>
      <x:c r="G371" s="65" t="n">
        <x:v>0</x:v>
      </x:c>
      <x:c r="H371" s="66" t="n">
        <x:v>0</x:v>
      </x:c>
      <x:c r="I371" s="66" t="n">
        <x:f>G371*H371</x:f>
        <x:v>0</x:v>
      </x:c>
      <x:c r="J371" s="66" t="str">
        <x:f>IFERROR(VLOOKUP(D371,Inventory!$B:$F,4,FALSE),0)</x:f>
      </x:c>
      <x:c r="K371" s="66" t="n">
        <x:f>H371-J371</x:f>
        <x:v>0</x:v>
      </x:c>
      <x:c r="L371" s="66" t="n">
        <x:f>K371*G371</x:f>
        <x:v>0</x:v>
      </x:c>
      <x:c r="M371" s="50"/>
      <x:c r="N371" s="66"/>
      <x:c r="O371" s="50"/>
    </x:row>
    <x:row r="372">
      <x:c r="A372" s="50"/>
      <x:c r="B372" s="64"/>
      <x:c r="C372" s="50"/>
      <x:c r="D372" s="50"/>
      <x:c r="E372" s="50" t="str">
        <x:f>IFERROR(VLOOKUP(D372,Inventory!$B:$D,2,FALSE),"")</x:f>
      </x:c>
      <x:c r="F372" s="50" t="str">
        <x:f>IFERROR(VLOOKUP(D372,Inventory!$B:$D,3,FALSE),"")</x:f>
      </x:c>
      <x:c r="G372" s="65" t="n">
        <x:v>0</x:v>
      </x:c>
      <x:c r="H372" s="66" t="n">
        <x:v>0</x:v>
      </x:c>
      <x:c r="I372" s="66" t="n">
        <x:f>G372*H372</x:f>
        <x:v>0</x:v>
      </x:c>
      <x:c r="J372" s="66" t="str">
        <x:f>IFERROR(VLOOKUP(D372,Inventory!$B:$F,4,FALSE),0)</x:f>
      </x:c>
      <x:c r="K372" s="66" t="n">
        <x:f>H372-J372</x:f>
        <x:v>0</x:v>
      </x:c>
      <x:c r="L372" s="66" t="n">
        <x:f>K372*G372</x:f>
        <x:v>0</x:v>
      </x:c>
      <x:c r="M372" s="50"/>
      <x:c r="N372" s="66"/>
      <x:c r="O372" s="50"/>
    </x:row>
    <x:row r="373">
      <x:c r="A373" s="50"/>
      <x:c r="B373" s="64"/>
      <x:c r="C373" s="50"/>
      <x:c r="D373" s="50"/>
      <x:c r="E373" s="50" t="str">
        <x:f>IFERROR(VLOOKUP(D373,Inventory!$B:$D,2,FALSE),"")</x:f>
      </x:c>
      <x:c r="F373" s="50" t="str">
        <x:f>IFERROR(VLOOKUP(D373,Inventory!$B:$D,3,FALSE),"")</x:f>
      </x:c>
      <x:c r="G373" s="65" t="n">
        <x:v>0</x:v>
      </x:c>
      <x:c r="H373" s="66" t="n">
        <x:v>0</x:v>
      </x:c>
      <x:c r="I373" s="66" t="n">
        <x:f>G373*H373</x:f>
        <x:v>0</x:v>
      </x:c>
      <x:c r="J373" s="66" t="str">
        <x:f>IFERROR(VLOOKUP(D373,Inventory!$B:$F,4,FALSE),0)</x:f>
      </x:c>
      <x:c r="K373" s="66" t="n">
        <x:f>H373-J373</x:f>
        <x:v>0</x:v>
      </x:c>
      <x:c r="L373" s="66" t="n">
        <x:f>K373*G373</x:f>
        <x:v>0</x:v>
      </x:c>
      <x:c r="M373" s="50"/>
      <x:c r="N373" s="66"/>
      <x:c r="O373" s="50"/>
    </x:row>
    <x:row r="374">
      <x:c r="A374" s="50"/>
      <x:c r="B374" s="64"/>
      <x:c r="C374" s="50"/>
      <x:c r="D374" s="50"/>
      <x:c r="E374" s="50" t="str">
        <x:f>IFERROR(VLOOKUP(D374,Inventory!$B:$D,2,FALSE),"")</x:f>
      </x:c>
      <x:c r="F374" s="50" t="str">
        <x:f>IFERROR(VLOOKUP(D374,Inventory!$B:$D,3,FALSE),"")</x:f>
      </x:c>
      <x:c r="G374" s="65" t="n">
        <x:v>0</x:v>
      </x:c>
      <x:c r="H374" s="66" t="n">
        <x:v>0</x:v>
      </x:c>
      <x:c r="I374" s="66" t="n">
        <x:f>G374*H374</x:f>
        <x:v>0</x:v>
      </x:c>
      <x:c r="J374" s="66" t="str">
        <x:f>IFERROR(VLOOKUP(D374,Inventory!$B:$F,4,FALSE),0)</x:f>
      </x:c>
      <x:c r="K374" s="66" t="n">
        <x:f>H374-J374</x:f>
        <x:v>0</x:v>
      </x:c>
      <x:c r="L374" s="66" t="n">
        <x:f>K374*G374</x:f>
        <x:v>0</x:v>
      </x:c>
      <x:c r="M374" s="50"/>
      <x:c r="N374" s="66"/>
      <x:c r="O374" s="50"/>
    </x:row>
    <x:row r="375">
      <x:c r="A375" s="50"/>
      <x:c r="B375" s="64"/>
      <x:c r="C375" s="50"/>
      <x:c r="D375" s="50"/>
      <x:c r="E375" s="50" t="str">
        <x:f>IFERROR(VLOOKUP(D375,Inventory!$B:$D,2,FALSE),"")</x:f>
      </x:c>
      <x:c r="F375" s="50" t="str">
        <x:f>IFERROR(VLOOKUP(D375,Inventory!$B:$D,3,FALSE),"")</x:f>
      </x:c>
      <x:c r="G375" s="65" t="n">
        <x:v>0</x:v>
      </x:c>
      <x:c r="H375" s="66" t="n">
        <x:v>0</x:v>
      </x:c>
      <x:c r="I375" s="66" t="n">
        <x:f>G375*H375</x:f>
        <x:v>0</x:v>
      </x:c>
      <x:c r="J375" s="66" t="str">
        <x:f>IFERROR(VLOOKUP(D375,Inventory!$B:$F,4,FALSE),0)</x:f>
      </x:c>
      <x:c r="K375" s="66" t="n">
        <x:f>H375-J375</x:f>
        <x:v>0</x:v>
      </x:c>
      <x:c r="L375" s="66" t="n">
        <x:f>K375*G375</x:f>
        <x:v>0</x:v>
      </x:c>
      <x:c r="M375" s="50"/>
      <x:c r="N375" s="66"/>
      <x:c r="O375" s="50"/>
    </x:row>
    <x:row r="376">
      <x:c r="A376" s="50"/>
      <x:c r="B376" s="64"/>
      <x:c r="C376" s="50"/>
      <x:c r="D376" s="50"/>
      <x:c r="E376" s="50" t="str">
        <x:f>IFERROR(VLOOKUP(D376,Inventory!$B:$D,2,FALSE),"")</x:f>
      </x:c>
      <x:c r="F376" s="50" t="str">
        <x:f>IFERROR(VLOOKUP(D376,Inventory!$B:$D,3,FALSE),"")</x:f>
      </x:c>
      <x:c r="G376" s="65" t="n">
        <x:v>0</x:v>
      </x:c>
      <x:c r="H376" s="66" t="n">
        <x:v>0</x:v>
      </x:c>
      <x:c r="I376" s="66" t="n">
        <x:f>G376*H376</x:f>
        <x:v>0</x:v>
      </x:c>
      <x:c r="J376" s="66" t="str">
        <x:f>IFERROR(VLOOKUP(D376,Inventory!$B:$F,4,FALSE),0)</x:f>
      </x:c>
      <x:c r="K376" s="66" t="n">
        <x:f>H376-J376</x:f>
        <x:v>0</x:v>
      </x:c>
      <x:c r="L376" s="66" t="n">
        <x:f>K376*G376</x:f>
        <x:v>0</x:v>
      </x:c>
      <x:c r="M376" s="50"/>
      <x:c r="N376" s="66"/>
      <x:c r="O376" s="50"/>
    </x:row>
    <x:row r="377">
      <x:c r="A377" s="50"/>
      <x:c r="B377" s="64"/>
      <x:c r="C377" s="50"/>
      <x:c r="D377" s="50"/>
      <x:c r="E377" s="50" t="str">
        <x:f>IFERROR(VLOOKUP(D377,Inventory!$B:$D,2,FALSE),"")</x:f>
      </x:c>
      <x:c r="F377" s="50" t="str">
        <x:f>IFERROR(VLOOKUP(D377,Inventory!$B:$D,3,FALSE),"")</x:f>
      </x:c>
      <x:c r="G377" s="65" t="n">
        <x:v>0</x:v>
      </x:c>
      <x:c r="H377" s="66" t="n">
        <x:v>0</x:v>
      </x:c>
      <x:c r="I377" s="66" t="n">
        <x:f>G377*H377</x:f>
        <x:v>0</x:v>
      </x:c>
      <x:c r="J377" s="66" t="str">
        <x:f>IFERROR(VLOOKUP(D377,Inventory!$B:$F,4,FALSE),0)</x:f>
      </x:c>
      <x:c r="K377" s="66" t="n">
        <x:f>H377-J377</x:f>
        <x:v>0</x:v>
      </x:c>
      <x:c r="L377" s="66" t="n">
        <x:f>K377*G377</x:f>
        <x:v>0</x:v>
      </x:c>
      <x:c r="M377" s="50"/>
      <x:c r="N377" s="66"/>
      <x:c r="O377" s="50"/>
    </x:row>
    <x:row r="378">
      <x:c r="A378" s="50"/>
      <x:c r="B378" s="64"/>
      <x:c r="C378" s="50"/>
      <x:c r="D378" s="50"/>
      <x:c r="E378" s="50" t="str">
        <x:f>IFERROR(VLOOKUP(D378,Inventory!$B:$D,2,FALSE),"")</x:f>
      </x:c>
      <x:c r="F378" s="50" t="str">
        <x:f>IFERROR(VLOOKUP(D378,Inventory!$B:$D,3,FALSE),"")</x:f>
      </x:c>
      <x:c r="G378" s="65" t="n">
        <x:v>0</x:v>
      </x:c>
      <x:c r="H378" s="66" t="n">
        <x:v>0</x:v>
      </x:c>
      <x:c r="I378" s="66" t="n">
        <x:f>G378*H378</x:f>
        <x:v>0</x:v>
      </x:c>
      <x:c r="J378" s="66" t="str">
        <x:f>IFERROR(VLOOKUP(D378,Inventory!$B:$F,4,FALSE),0)</x:f>
      </x:c>
      <x:c r="K378" s="66" t="n">
        <x:f>H378-J378</x:f>
        <x:v>0</x:v>
      </x:c>
      <x:c r="L378" s="66" t="n">
        <x:f>K378*G378</x:f>
        <x:v>0</x:v>
      </x:c>
      <x:c r="M378" s="50"/>
      <x:c r="N378" s="66"/>
      <x:c r="O378" s="50"/>
    </x:row>
    <x:row r="379">
      <x:c r="A379" s="50"/>
      <x:c r="B379" s="64"/>
      <x:c r="C379" s="50"/>
      <x:c r="D379" s="50"/>
      <x:c r="E379" s="50" t="str">
        <x:f>IFERROR(VLOOKUP(D379,Inventory!$B:$D,2,FALSE),"")</x:f>
      </x:c>
      <x:c r="F379" s="50" t="str">
        <x:f>IFERROR(VLOOKUP(D379,Inventory!$B:$D,3,FALSE),"")</x:f>
      </x:c>
      <x:c r="G379" s="65" t="n">
        <x:v>0</x:v>
      </x:c>
      <x:c r="H379" s="66" t="n">
        <x:v>0</x:v>
      </x:c>
      <x:c r="I379" s="66" t="n">
        <x:f>G379*H379</x:f>
        <x:v>0</x:v>
      </x:c>
      <x:c r="J379" s="66" t="str">
        <x:f>IFERROR(VLOOKUP(D379,Inventory!$B:$F,4,FALSE),0)</x:f>
      </x:c>
      <x:c r="K379" s="66" t="n">
        <x:f>H379-J379</x:f>
        <x:v>0</x:v>
      </x:c>
      <x:c r="L379" s="66" t="n">
        <x:f>K379*G379</x:f>
        <x:v>0</x:v>
      </x:c>
      <x:c r="M379" s="50"/>
      <x:c r="N379" s="66"/>
      <x:c r="O379" s="50"/>
    </x:row>
    <x:row r="380">
      <x:c r="A380" s="50"/>
      <x:c r="B380" s="64"/>
      <x:c r="C380" s="50"/>
      <x:c r="D380" s="50"/>
      <x:c r="E380" s="50" t="str">
        <x:f>IFERROR(VLOOKUP(D380,Inventory!$B:$D,2,FALSE),"")</x:f>
      </x:c>
      <x:c r="F380" s="50" t="str">
        <x:f>IFERROR(VLOOKUP(D380,Inventory!$B:$D,3,FALSE),"")</x:f>
      </x:c>
      <x:c r="G380" s="65" t="n">
        <x:v>0</x:v>
      </x:c>
      <x:c r="H380" s="66" t="n">
        <x:v>0</x:v>
      </x:c>
      <x:c r="I380" s="66" t="n">
        <x:f>G380*H380</x:f>
        <x:v>0</x:v>
      </x:c>
      <x:c r="J380" s="66" t="str">
        <x:f>IFERROR(VLOOKUP(D380,Inventory!$B:$F,4,FALSE),0)</x:f>
      </x:c>
      <x:c r="K380" s="66" t="n">
        <x:f>H380-J380</x:f>
        <x:v>0</x:v>
      </x:c>
      <x:c r="L380" s="66" t="n">
        <x:f>K380*G380</x:f>
        <x:v>0</x:v>
      </x:c>
      <x:c r="M380" s="50"/>
      <x:c r="N380" s="66"/>
      <x:c r="O380" s="50"/>
    </x:row>
    <x:row r="381">
      <x:c r="A381" s="50"/>
      <x:c r="B381" s="64"/>
      <x:c r="C381" s="50"/>
      <x:c r="D381" s="50"/>
      <x:c r="E381" s="50" t="str">
        <x:f>IFERROR(VLOOKUP(D381,Inventory!$B:$D,2,FALSE),"")</x:f>
      </x:c>
      <x:c r="F381" s="50" t="str">
        <x:f>IFERROR(VLOOKUP(D381,Inventory!$B:$D,3,FALSE),"")</x:f>
      </x:c>
      <x:c r="G381" s="65" t="n">
        <x:v>0</x:v>
      </x:c>
      <x:c r="H381" s="66" t="n">
        <x:v>0</x:v>
      </x:c>
      <x:c r="I381" s="66" t="n">
        <x:f>G381*H381</x:f>
        <x:v>0</x:v>
      </x:c>
      <x:c r="J381" s="66" t="str">
        <x:f>IFERROR(VLOOKUP(D381,Inventory!$B:$F,4,FALSE),0)</x:f>
      </x:c>
      <x:c r="K381" s="66" t="n">
        <x:f>H381-J381</x:f>
        <x:v>0</x:v>
      </x:c>
      <x:c r="L381" s="66" t="n">
        <x:f>K381*G381</x:f>
        <x:v>0</x:v>
      </x:c>
      <x:c r="M381" s="50"/>
      <x:c r="N381" s="66"/>
      <x:c r="O381" s="50"/>
    </x:row>
    <x:row r="382">
      <x:c r="A382" s="50"/>
      <x:c r="B382" s="64"/>
      <x:c r="C382" s="50"/>
      <x:c r="D382" s="50"/>
      <x:c r="E382" s="50" t="str">
        <x:f>IFERROR(VLOOKUP(D382,Inventory!$B:$D,2,FALSE),"")</x:f>
      </x:c>
      <x:c r="F382" s="50" t="str">
        <x:f>IFERROR(VLOOKUP(D382,Inventory!$B:$D,3,FALSE),"")</x:f>
      </x:c>
      <x:c r="G382" s="65" t="n">
        <x:v>0</x:v>
      </x:c>
      <x:c r="H382" s="66" t="n">
        <x:v>0</x:v>
      </x:c>
      <x:c r="I382" s="66" t="n">
        <x:f>G382*H382</x:f>
        <x:v>0</x:v>
      </x:c>
      <x:c r="J382" s="66" t="str">
        <x:f>IFERROR(VLOOKUP(D382,Inventory!$B:$F,4,FALSE),0)</x:f>
      </x:c>
      <x:c r="K382" s="66" t="n">
        <x:f>H382-J382</x:f>
        <x:v>0</x:v>
      </x:c>
      <x:c r="L382" s="66" t="n">
        <x:f>K382*G382</x:f>
        <x:v>0</x:v>
      </x:c>
      <x:c r="M382" s="50"/>
      <x:c r="N382" s="66"/>
      <x:c r="O382" s="50"/>
    </x:row>
    <x:row r="383">
      <x:c r="A383" s="50"/>
      <x:c r="B383" s="64"/>
      <x:c r="C383" s="50"/>
      <x:c r="D383" s="50"/>
      <x:c r="E383" s="50" t="str">
        <x:f>IFERROR(VLOOKUP(D383,Inventory!$B:$D,2,FALSE),"")</x:f>
      </x:c>
      <x:c r="F383" s="50" t="str">
        <x:f>IFERROR(VLOOKUP(D383,Inventory!$B:$D,3,FALSE),"")</x:f>
      </x:c>
      <x:c r="G383" s="65" t="n">
        <x:v>0</x:v>
      </x:c>
      <x:c r="H383" s="66" t="n">
        <x:v>0</x:v>
      </x:c>
      <x:c r="I383" s="66" t="n">
        <x:f>G383*H383</x:f>
        <x:v>0</x:v>
      </x:c>
      <x:c r="J383" s="66" t="str">
        <x:f>IFERROR(VLOOKUP(D383,Inventory!$B:$F,4,FALSE),0)</x:f>
      </x:c>
      <x:c r="K383" s="66" t="n">
        <x:f>H383-J383</x:f>
        <x:v>0</x:v>
      </x:c>
      <x:c r="L383" s="66" t="n">
        <x:f>K383*G383</x:f>
        <x:v>0</x:v>
      </x:c>
      <x:c r="M383" s="50"/>
      <x:c r="N383" s="66"/>
      <x:c r="O383" s="50"/>
    </x:row>
    <x:row r="384">
      <x:c r="A384" s="50"/>
      <x:c r="B384" s="64"/>
      <x:c r="C384" s="50"/>
      <x:c r="D384" s="50"/>
      <x:c r="E384" s="50" t="str">
        <x:f>IFERROR(VLOOKUP(D384,Inventory!$B:$D,2,FALSE),"")</x:f>
      </x:c>
      <x:c r="F384" s="50" t="str">
        <x:f>IFERROR(VLOOKUP(D384,Inventory!$B:$D,3,FALSE),"")</x:f>
      </x:c>
      <x:c r="G384" s="65" t="n">
        <x:v>0</x:v>
      </x:c>
      <x:c r="H384" s="66" t="n">
        <x:v>0</x:v>
      </x:c>
      <x:c r="I384" s="66" t="n">
        <x:f>G384*H384</x:f>
        <x:v>0</x:v>
      </x:c>
      <x:c r="J384" s="66" t="str">
        <x:f>IFERROR(VLOOKUP(D384,Inventory!$B:$F,4,FALSE),0)</x:f>
      </x:c>
      <x:c r="K384" s="66" t="n">
        <x:f>H384-J384</x:f>
        <x:v>0</x:v>
      </x:c>
      <x:c r="L384" s="66" t="n">
        <x:f>K384*G384</x:f>
        <x:v>0</x:v>
      </x:c>
      <x:c r="M384" s="50"/>
      <x:c r="N384" s="66"/>
      <x:c r="O384" s="50"/>
    </x:row>
    <x:row r="385">
      <x:c r="A385" s="50"/>
      <x:c r="B385" s="64"/>
      <x:c r="C385" s="50"/>
      <x:c r="D385" s="50"/>
      <x:c r="E385" s="50" t="str">
        <x:f>IFERROR(VLOOKUP(D385,Inventory!$B:$D,2,FALSE),"")</x:f>
      </x:c>
      <x:c r="F385" s="50" t="str">
        <x:f>IFERROR(VLOOKUP(D385,Inventory!$B:$D,3,FALSE),"")</x:f>
      </x:c>
      <x:c r="G385" s="65" t="n">
        <x:v>0</x:v>
      </x:c>
      <x:c r="H385" s="66" t="n">
        <x:v>0</x:v>
      </x:c>
      <x:c r="I385" s="66" t="n">
        <x:f>G385*H385</x:f>
        <x:v>0</x:v>
      </x:c>
      <x:c r="J385" s="66" t="str">
        <x:f>IFERROR(VLOOKUP(D385,Inventory!$B:$F,4,FALSE),0)</x:f>
      </x:c>
      <x:c r="K385" s="66" t="n">
        <x:f>H385-J385</x:f>
        <x:v>0</x:v>
      </x:c>
      <x:c r="L385" s="66" t="n">
        <x:f>K385*G385</x:f>
        <x:v>0</x:v>
      </x:c>
      <x:c r="M385" s="50"/>
      <x:c r="N385" s="66"/>
      <x:c r="O385" s="50"/>
    </x:row>
    <x:row r="386">
      <x:c r="A386" s="50"/>
      <x:c r="B386" s="64"/>
      <x:c r="C386" s="50"/>
      <x:c r="D386" s="50"/>
      <x:c r="E386" s="50" t="str">
        <x:f>IFERROR(VLOOKUP(D386,Inventory!$B:$D,2,FALSE),"")</x:f>
      </x:c>
      <x:c r="F386" s="50" t="str">
        <x:f>IFERROR(VLOOKUP(D386,Inventory!$B:$D,3,FALSE),"")</x:f>
      </x:c>
      <x:c r="G386" s="65" t="n">
        <x:v>0</x:v>
      </x:c>
      <x:c r="H386" s="66" t="n">
        <x:v>0</x:v>
      </x:c>
      <x:c r="I386" s="66" t="n">
        <x:f>G386*H386</x:f>
        <x:v>0</x:v>
      </x:c>
      <x:c r="J386" s="66" t="str">
        <x:f>IFERROR(VLOOKUP(D386,Inventory!$B:$F,4,FALSE),0)</x:f>
      </x:c>
      <x:c r="K386" s="66" t="n">
        <x:f>H386-J386</x:f>
        <x:v>0</x:v>
      </x:c>
      <x:c r="L386" s="66" t="n">
        <x:f>K386*G386</x:f>
        <x:v>0</x:v>
      </x:c>
      <x:c r="M386" s="50"/>
      <x:c r="N386" s="66"/>
      <x:c r="O386" s="50"/>
    </x:row>
    <x:row r="387">
      <x:c r="A387" s="50"/>
      <x:c r="B387" s="64"/>
      <x:c r="C387" s="50"/>
      <x:c r="D387" s="50"/>
      <x:c r="E387" s="50" t="str">
        <x:f>IFERROR(VLOOKUP(D387,Inventory!$B:$D,2,FALSE),"")</x:f>
      </x:c>
      <x:c r="F387" s="50" t="str">
        <x:f>IFERROR(VLOOKUP(D387,Inventory!$B:$D,3,FALSE),"")</x:f>
      </x:c>
      <x:c r="G387" s="65" t="n">
        <x:v>0</x:v>
      </x:c>
      <x:c r="H387" s="66" t="n">
        <x:v>0</x:v>
      </x:c>
      <x:c r="I387" s="66" t="n">
        <x:f>G387*H387</x:f>
        <x:v>0</x:v>
      </x:c>
      <x:c r="J387" s="66" t="str">
        <x:f>IFERROR(VLOOKUP(D387,Inventory!$B:$F,4,FALSE),0)</x:f>
      </x:c>
      <x:c r="K387" s="66" t="n">
        <x:f>H387-J387</x:f>
        <x:v>0</x:v>
      </x:c>
      <x:c r="L387" s="66" t="n">
        <x:f>K387*G387</x:f>
        <x:v>0</x:v>
      </x:c>
      <x:c r="M387" s="50"/>
      <x:c r="N387" s="66"/>
      <x:c r="O387" s="50"/>
    </x:row>
    <x:row r="388">
      <x:c r="A388" s="50"/>
      <x:c r="B388" s="64"/>
      <x:c r="C388" s="50"/>
      <x:c r="D388" s="50"/>
      <x:c r="E388" s="50" t="str">
        <x:f>IFERROR(VLOOKUP(D388,Inventory!$B:$D,2,FALSE),"")</x:f>
      </x:c>
      <x:c r="F388" s="50" t="str">
        <x:f>IFERROR(VLOOKUP(D388,Inventory!$B:$D,3,FALSE),"")</x:f>
      </x:c>
      <x:c r="G388" s="65" t="n">
        <x:v>0</x:v>
      </x:c>
      <x:c r="H388" s="66" t="n">
        <x:v>0</x:v>
      </x:c>
      <x:c r="I388" s="66" t="n">
        <x:f>G388*H388</x:f>
        <x:v>0</x:v>
      </x:c>
      <x:c r="J388" s="66" t="str">
        <x:f>IFERROR(VLOOKUP(D388,Inventory!$B:$F,4,FALSE),0)</x:f>
      </x:c>
      <x:c r="K388" s="66" t="n">
        <x:f>H388-J388</x:f>
        <x:v>0</x:v>
      </x:c>
      <x:c r="L388" s="66" t="n">
        <x:f>K388*G388</x:f>
        <x:v>0</x:v>
      </x:c>
      <x:c r="M388" s="50"/>
      <x:c r="N388" s="66"/>
      <x:c r="O388" s="50"/>
    </x:row>
    <x:row r="389">
      <x:c r="A389" s="50"/>
      <x:c r="B389" s="64"/>
      <x:c r="C389" s="50"/>
      <x:c r="D389" s="50"/>
      <x:c r="E389" s="50" t="str">
        <x:f>IFERROR(VLOOKUP(D389,Inventory!$B:$D,2,FALSE),"")</x:f>
      </x:c>
      <x:c r="F389" s="50" t="str">
        <x:f>IFERROR(VLOOKUP(D389,Inventory!$B:$D,3,FALSE),"")</x:f>
      </x:c>
      <x:c r="G389" s="65" t="n">
        <x:v>0</x:v>
      </x:c>
      <x:c r="H389" s="66" t="n">
        <x:v>0</x:v>
      </x:c>
      <x:c r="I389" s="66" t="n">
        <x:f>G389*H389</x:f>
        <x:v>0</x:v>
      </x:c>
      <x:c r="J389" s="66" t="str">
        <x:f>IFERROR(VLOOKUP(D389,Inventory!$B:$F,4,FALSE),0)</x:f>
      </x:c>
      <x:c r="K389" s="66" t="n">
        <x:f>H389-J389</x:f>
        <x:v>0</x:v>
      </x:c>
      <x:c r="L389" s="66" t="n">
        <x:f>K389*G389</x:f>
        <x:v>0</x:v>
      </x:c>
      <x:c r="M389" s="50"/>
      <x:c r="N389" s="66"/>
      <x:c r="O389" s="50"/>
    </x:row>
    <x:row r="390">
      <x:c r="A390" s="50"/>
      <x:c r="B390" s="64"/>
      <x:c r="C390" s="50"/>
      <x:c r="D390" s="50"/>
      <x:c r="E390" s="50" t="str">
        <x:f>IFERROR(VLOOKUP(D390,Inventory!$B:$D,2,FALSE),"")</x:f>
      </x:c>
      <x:c r="F390" s="50" t="str">
        <x:f>IFERROR(VLOOKUP(D390,Inventory!$B:$D,3,FALSE),"")</x:f>
      </x:c>
      <x:c r="G390" s="65" t="n">
        <x:v>0</x:v>
      </x:c>
      <x:c r="H390" s="66" t="n">
        <x:v>0</x:v>
      </x:c>
      <x:c r="I390" s="66" t="n">
        <x:f>G390*H390</x:f>
        <x:v>0</x:v>
      </x:c>
      <x:c r="J390" s="66" t="str">
        <x:f>IFERROR(VLOOKUP(D390,Inventory!$B:$F,4,FALSE),0)</x:f>
      </x:c>
      <x:c r="K390" s="66" t="n">
        <x:f>H390-J390</x:f>
        <x:v>0</x:v>
      </x:c>
      <x:c r="L390" s="66" t="n">
        <x:f>K390*G390</x:f>
        <x:v>0</x:v>
      </x:c>
      <x:c r="M390" s="50"/>
      <x:c r="N390" s="66"/>
      <x:c r="O390" s="50"/>
    </x:row>
    <x:row r="391">
      <x:c r="A391" s="50"/>
      <x:c r="B391" s="64"/>
      <x:c r="C391" s="50"/>
      <x:c r="D391" s="50"/>
      <x:c r="E391" s="50" t="str">
        <x:f>IFERROR(VLOOKUP(D391,Inventory!$B:$D,2,FALSE),"")</x:f>
      </x:c>
      <x:c r="F391" s="50" t="str">
        <x:f>IFERROR(VLOOKUP(D391,Inventory!$B:$D,3,FALSE),"")</x:f>
      </x:c>
      <x:c r="G391" s="65" t="n">
        <x:v>0</x:v>
      </x:c>
      <x:c r="H391" s="66" t="n">
        <x:v>0</x:v>
      </x:c>
      <x:c r="I391" s="66" t="n">
        <x:f>G391*H391</x:f>
        <x:v>0</x:v>
      </x:c>
      <x:c r="J391" s="66" t="str">
        <x:f>IFERROR(VLOOKUP(D391,Inventory!$B:$F,4,FALSE),0)</x:f>
      </x:c>
      <x:c r="K391" s="66" t="n">
        <x:f>H391-J391</x:f>
        <x:v>0</x:v>
      </x:c>
      <x:c r="L391" s="66" t="n">
        <x:f>K391*G391</x:f>
        <x:v>0</x:v>
      </x:c>
      <x:c r="M391" s="50"/>
      <x:c r="N391" s="66"/>
      <x:c r="O391" s="50"/>
    </x:row>
    <x:row r="392">
      <x:c r="A392" s="50"/>
      <x:c r="B392" s="64"/>
      <x:c r="C392" s="50"/>
      <x:c r="D392" s="50"/>
      <x:c r="E392" s="50" t="str">
        <x:f>IFERROR(VLOOKUP(D392,Inventory!$B:$D,2,FALSE),"")</x:f>
      </x:c>
      <x:c r="F392" s="50" t="str">
        <x:f>IFERROR(VLOOKUP(D392,Inventory!$B:$D,3,FALSE),"")</x:f>
      </x:c>
      <x:c r="G392" s="65" t="n">
        <x:v>0</x:v>
      </x:c>
      <x:c r="H392" s="66" t="n">
        <x:v>0</x:v>
      </x:c>
      <x:c r="I392" s="66" t="n">
        <x:f>G392*H392</x:f>
        <x:v>0</x:v>
      </x:c>
      <x:c r="J392" s="66" t="str">
        <x:f>IFERROR(VLOOKUP(D392,Inventory!$B:$F,4,FALSE),0)</x:f>
      </x:c>
      <x:c r="K392" s="66" t="n">
        <x:f>H392-J392</x:f>
        <x:v>0</x:v>
      </x:c>
      <x:c r="L392" s="66" t="n">
        <x:f>K392*G392</x:f>
        <x:v>0</x:v>
      </x:c>
      <x:c r="M392" s="50"/>
      <x:c r="N392" s="66"/>
      <x:c r="O392" s="50"/>
    </x:row>
    <x:row r="393">
      <x:c r="A393" s="50"/>
      <x:c r="B393" s="64"/>
      <x:c r="C393" s="50"/>
      <x:c r="D393" s="50"/>
      <x:c r="E393" s="50" t="str">
        <x:f>IFERROR(VLOOKUP(D393,Inventory!$B:$D,2,FALSE),"")</x:f>
      </x:c>
      <x:c r="F393" s="50" t="str">
        <x:f>IFERROR(VLOOKUP(D393,Inventory!$B:$D,3,FALSE),"")</x:f>
      </x:c>
      <x:c r="G393" s="65" t="n">
        <x:v>0</x:v>
      </x:c>
      <x:c r="H393" s="66" t="n">
        <x:v>0</x:v>
      </x:c>
      <x:c r="I393" s="66" t="n">
        <x:f>G393*H393</x:f>
        <x:v>0</x:v>
      </x:c>
      <x:c r="J393" s="66" t="str">
        <x:f>IFERROR(VLOOKUP(D393,Inventory!$B:$F,4,FALSE),0)</x:f>
      </x:c>
      <x:c r="K393" s="66" t="n">
        <x:f>H393-J393</x:f>
        <x:v>0</x:v>
      </x:c>
      <x:c r="L393" s="66" t="n">
        <x:f>K393*G393</x:f>
        <x:v>0</x:v>
      </x:c>
      <x:c r="M393" s="50"/>
      <x:c r="N393" s="66"/>
      <x:c r="O393" s="50"/>
    </x:row>
    <x:row r="394">
      <x:c r="A394" s="50"/>
      <x:c r="B394" s="64"/>
      <x:c r="C394" s="50"/>
      <x:c r="D394" s="50"/>
      <x:c r="E394" s="50" t="str">
        <x:f>IFERROR(VLOOKUP(D394,Inventory!$B:$D,2,FALSE),"")</x:f>
      </x:c>
      <x:c r="F394" s="50" t="str">
        <x:f>IFERROR(VLOOKUP(D394,Inventory!$B:$D,3,FALSE),"")</x:f>
      </x:c>
      <x:c r="G394" s="65" t="n">
        <x:v>0</x:v>
      </x:c>
      <x:c r="H394" s="66" t="n">
        <x:v>0</x:v>
      </x:c>
      <x:c r="I394" s="66" t="n">
        <x:f>G394*H394</x:f>
        <x:v>0</x:v>
      </x:c>
      <x:c r="J394" s="66" t="str">
        <x:f>IFERROR(VLOOKUP(D394,Inventory!$B:$F,4,FALSE),0)</x:f>
      </x:c>
      <x:c r="K394" s="66" t="n">
        <x:f>H394-J394</x:f>
        <x:v>0</x:v>
      </x:c>
      <x:c r="L394" s="66" t="n">
        <x:f>K394*G394</x:f>
        <x:v>0</x:v>
      </x:c>
      <x:c r="M394" s="50"/>
      <x:c r="N394" s="66"/>
      <x:c r="O394" s="50"/>
    </x:row>
    <x:row r="395">
      <x:c r="A395" s="50"/>
      <x:c r="B395" s="64"/>
      <x:c r="C395" s="50"/>
      <x:c r="D395" s="50"/>
      <x:c r="E395" s="50" t="str">
        <x:f>IFERROR(VLOOKUP(D395,Inventory!$B:$D,2,FALSE),"")</x:f>
      </x:c>
      <x:c r="F395" s="50" t="str">
        <x:f>IFERROR(VLOOKUP(D395,Inventory!$B:$D,3,FALSE),"")</x:f>
      </x:c>
      <x:c r="G395" s="65" t="n">
        <x:v>0</x:v>
      </x:c>
      <x:c r="H395" s="66" t="n">
        <x:v>0</x:v>
      </x:c>
      <x:c r="I395" s="66" t="n">
        <x:f>G395*H395</x:f>
        <x:v>0</x:v>
      </x:c>
      <x:c r="J395" s="66" t="str">
        <x:f>IFERROR(VLOOKUP(D395,Inventory!$B:$F,4,FALSE),0)</x:f>
      </x:c>
      <x:c r="K395" s="66" t="n">
        <x:f>H395-J395</x:f>
        <x:v>0</x:v>
      </x:c>
      <x:c r="L395" s="66" t="n">
        <x:f>K395*G395</x:f>
        <x:v>0</x:v>
      </x:c>
      <x:c r="M395" s="50"/>
      <x:c r="N395" s="66"/>
      <x:c r="O395" s="50"/>
    </x:row>
    <x:row r="396">
      <x:c r="A396" s="50"/>
      <x:c r="B396" s="64"/>
      <x:c r="C396" s="50"/>
      <x:c r="D396" s="50"/>
      <x:c r="E396" s="50" t="str">
        <x:f>IFERROR(VLOOKUP(D396,Inventory!$B:$D,2,FALSE),"")</x:f>
      </x:c>
      <x:c r="F396" s="50" t="str">
        <x:f>IFERROR(VLOOKUP(D396,Inventory!$B:$D,3,FALSE),"")</x:f>
      </x:c>
      <x:c r="G396" s="65" t="n">
        <x:v>0</x:v>
      </x:c>
      <x:c r="H396" s="66" t="n">
        <x:v>0</x:v>
      </x:c>
      <x:c r="I396" s="66" t="n">
        <x:f>G396*H396</x:f>
        <x:v>0</x:v>
      </x:c>
      <x:c r="J396" s="66" t="str">
        <x:f>IFERROR(VLOOKUP(D396,Inventory!$B:$F,4,FALSE),0)</x:f>
      </x:c>
      <x:c r="K396" s="66" t="n">
        <x:f>H396-J396</x:f>
        <x:v>0</x:v>
      </x:c>
      <x:c r="L396" s="66" t="n">
        <x:f>K396*G396</x:f>
        <x:v>0</x:v>
      </x:c>
      <x:c r="M396" s="50"/>
      <x:c r="N396" s="66"/>
      <x:c r="O396" s="50"/>
    </x:row>
    <x:row r="397">
      <x:c r="A397" s="50"/>
      <x:c r="B397" s="64"/>
      <x:c r="C397" s="50"/>
      <x:c r="D397" s="50"/>
      <x:c r="E397" s="50" t="str">
        <x:f>IFERROR(VLOOKUP(D397,Inventory!$B:$D,2,FALSE),"")</x:f>
      </x:c>
      <x:c r="F397" s="50" t="str">
        <x:f>IFERROR(VLOOKUP(D397,Inventory!$B:$D,3,FALSE),"")</x:f>
      </x:c>
      <x:c r="G397" s="65" t="n">
        <x:v>0</x:v>
      </x:c>
      <x:c r="H397" s="66" t="n">
        <x:v>0</x:v>
      </x:c>
      <x:c r="I397" s="66" t="n">
        <x:f>G397*H397</x:f>
        <x:v>0</x:v>
      </x:c>
      <x:c r="J397" s="66" t="str">
        <x:f>IFERROR(VLOOKUP(D397,Inventory!$B:$F,4,FALSE),0)</x:f>
      </x:c>
      <x:c r="K397" s="66" t="n">
        <x:f>H397-J397</x:f>
        <x:v>0</x:v>
      </x:c>
      <x:c r="L397" s="66" t="n">
        <x:f>K397*G397</x:f>
        <x:v>0</x:v>
      </x:c>
      <x:c r="M397" s="50"/>
      <x:c r="N397" s="66"/>
      <x:c r="O397" s="50"/>
    </x:row>
    <x:row r="398">
      <x:c r="A398" s="50"/>
      <x:c r="B398" s="64"/>
      <x:c r="C398" s="50"/>
      <x:c r="D398" s="50"/>
      <x:c r="E398" s="50" t="str">
        <x:f>IFERROR(VLOOKUP(D398,Inventory!$B:$D,2,FALSE),"")</x:f>
      </x:c>
      <x:c r="F398" s="50" t="str">
        <x:f>IFERROR(VLOOKUP(D398,Inventory!$B:$D,3,FALSE),"")</x:f>
      </x:c>
      <x:c r="G398" s="65" t="n">
        <x:v>0</x:v>
      </x:c>
      <x:c r="H398" s="66" t="n">
        <x:v>0</x:v>
      </x:c>
      <x:c r="I398" s="66" t="n">
        <x:f>G398*H398</x:f>
        <x:v>0</x:v>
      </x:c>
      <x:c r="J398" s="66" t="str">
        <x:f>IFERROR(VLOOKUP(D398,Inventory!$B:$F,4,FALSE),0)</x:f>
      </x:c>
      <x:c r="K398" s="66" t="n">
        <x:f>H398-J398</x:f>
        <x:v>0</x:v>
      </x:c>
      <x:c r="L398" s="66" t="n">
        <x:f>K398*G398</x:f>
        <x:v>0</x:v>
      </x:c>
      <x:c r="M398" s="50"/>
      <x:c r="N398" s="66"/>
      <x:c r="O398" s="50"/>
    </x:row>
    <x:row r="399">
      <x:c r="A399" s="50"/>
      <x:c r="B399" s="64"/>
      <x:c r="C399" s="50"/>
      <x:c r="D399" s="50"/>
      <x:c r="E399" s="50" t="str">
        <x:f>IFERROR(VLOOKUP(D399,Inventory!$B:$D,2,FALSE),"")</x:f>
      </x:c>
      <x:c r="F399" s="50" t="str">
        <x:f>IFERROR(VLOOKUP(D399,Inventory!$B:$D,3,FALSE),"")</x:f>
      </x:c>
      <x:c r="G399" s="65" t="n">
        <x:v>0</x:v>
      </x:c>
      <x:c r="H399" s="66" t="n">
        <x:v>0</x:v>
      </x:c>
      <x:c r="I399" s="66" t="n">
        <x:f>G399*H399</x:f>
        <x:v>0</x:v>
      </x:c>
      <x:c r="J399" s="66" t="str">
        <x:f>IFERROR(VLOOKUP(D399,Inventory!$B:$F,4,FALSE),0)</x:f>
      </x:c>
      <x:c r="K399" s="66" t="n">
        <x:f>H399-J399</x:f>
        <x:v>0</x:v>
      </x:c>
      <x:c r="L399" s="66" t="n">
        <x:f>K399*G399</x:f>
        <x:v>0</x:v>
      </x:c>
      <x:c r="M399" s="50"/>
      <x:c r="N399" s="66"/>
      <x:c r="O399" s="50"/>
    </x:row>
    <x:row r="400">
      <x:c r="A400" s="50"/>
      <x:c r="B400" s="64"/>
      <x:c r="C400" s="50"/>
      <x:c r="D400" s="50"/>
      <x:c r="E400" s="50" t="str">
        <x:f>IFERROR(VLOOKUP(D400,Inventory!$B:$D,2,FALSE),"")</x:f>
      </x:c>
      <x:c r="F400" s="50" t="str">
        <x:f>IFERROR(VLOOKUP(D400,Inventory!$B:$D,3,FALSE),"")</x:f>
      </x:c>
      <x:c r="G400" s="65" t="n">
        <x:v>0</x:v>
      </x:c>
      <x:c r="H400" s="66" t="n">
        <x:v>0</x:v>
      </x:c>
      <x:c r="I400" s="66" t="n">
        <x:f>G400*H400</x:f>
        <x:v>0</x:v>
      </x:c>
      <x:c r="J400" s="66" t="str">
        <x:f>IFERROR(VLOOKUP(D400,Inventory!$B:$F,4,FALSE),0)</x:f>
      </x:c>
      <x:c r="K400" s="66" t="n">
        <x:f>H400-J400</x:f>
        <x:v>0</x:v>
      </x:c>
      <x:c r="L400" s="66" t="n">
        <x:f>K400*G400</x:f>
        <x:v>0</x:v>
      </x:c>
      <x:c r="M400" s="50"/>
      <x:c r="N400" s="66"/>
      <x:c r="O400" s="50"/>
    </x:row>
    <x:row r="401">
      <x:c r="A401" s="50"/>
      <x:c r="B401" s="64"/>
      <x:c r="C401" s="50"/>
      <x:c r="D401" s="50"/>
      <x:c r="E401" s="50" t="str">
        <x:f>IFERROR(VLOOKUP(D401,Inventory!$B:$D,2,FALSE),"")</x:f>
      </x:c>
      <x:c r="F401" s="50" t="str">
        <x:f>IFERROR(VLOOKUP(D401,Inventory!$B:$D,3,FALSE),"")</x:f>
      </x:c>
      <x:c r="G401" s="65" t="n">
        <x:v>0</x:v>
      </x:c>
      <x:c r="H401" s="66" t="n">
        <x:v>0</x:v>
      </x:c>
      <x:c r="I401" s="66" t="n">
        <x:f>G401*H401</x:f>
        <x:v>0</x:v>
      </x:c>
      <x:c r="J401" s="66" t="str">
        <x:f>IFERROR(VLOOKUP(D401,Inventory!$B:$F,4,FALSE),0)</x:f>
      </x:c>
      <x:c r="K401" s="66" t="n">
        <x:f>H401-J401</x:f>
        <x:v>0</x:v>
      </x:c>
      <x:c r="L401" s="66" t="n">
        <x:f>K401*G401</x:f>
        <x:v>0</x:v>
      </x:c>
      <x:c r="M401" s="50"/>
      <x:c r="N401" s="66"/>
      <x:c r="O401" s="50"/>
    </x:row>
    <x:row r="402">
      <x:c r="A402" s="50"/>
      <x:c r="B402" s="64"/>
      <x:c r="C402" s="50"/>
      <x:c r="D402" s="50"/>
      <x:c r="E402" s="50" t="str">
        <x:f>IFERROR(VLOOKUP(D402,Inventory!$B:$D,2,FALSE),"")</x:f>
      </x:c>
      <x:c r="F402" s="50" t="str">
        <x:f>IFERROR(VLOOKUP(D402,Inventory!$B:$D,3,FALSE),"")</x:f>
      </x:c>
      <x:c r="G402" s="65" t="n">
        <x:v>0</x:v>
      </x:c>
      <x:c r="H402" s="66" t="n">
        <x:v>0</x:v>
      </x:c>
      <x:c r="I402" s="66" t="n">
        <x:f>G402*H402</x:f>
        <x:v>0</x:v>
      </x:c>
      <x:c r="J402" s="66" t="str">
        <x:f>IFERROR(VLOOKUP(D402,Inventory!$B:$F,4,FALSE),0)</x:f>
      </x:c>
      <x:c r="K402" s="66" t="n">
        <x:f>H402-J402</x:f>
        <x:v>0</x:v>
      </x:c>
      <x:c r="L402" s="66" t="n">
        <x:f>K402*G402</x:f>
        <x:v>0</x:v>
      </x:c>
      <x:c r="M402" s="50"/>
      <x:c r="N402" s="66"/>
      <x:c r="O402" s="50"/>
    </x:row>
    <x:row r="403">
      <x:c r="A403" s="50"/>
      <x:c r="B403" s="64"/>
      <x:c r="C403" s="50"/>
      <x:c r="D403" s="50"/>
      <x:c r="E403" s="50" t="str">
        <x:f>IFERROR(VLOOKUP(D403,Inventory!$B:$D,2,FALSE),"")</x:f>
      </x:c>
      <x:c r="F403" s="50" t="str">
        <x:f>IFERROR(VLOOKUP(D403,Inventory!$B:$D,3,FALSE),"")</x:f>
      </x:c>
      <x:c r="G403" s="65" t="n">
        <x:v>0</x:v>
      </x:c>
      <x:c r="H403" s="66" t="n">
        <x:v>0</x:v>
      </x:c>
      <x:c r="I403" s="66" t="n">
        <x:f>G403*H403</x:f>
        <x:v>0</x:v>
      </x:c>
      <x:c r="J403" s="66" t="str">
        <x:f>IFERROR(VLOOKUP(D403,Inventory!$B:$F,4,FALSE),0)</x:f>
      </x:c>
      <x:c r="K403" s="66" t="n">
        <x:f>H403-J403</x:f>
        <x:v>0</x:v>
      </x:c>
      <x:c r="L403" s="66" t="n">
        <x:f>K403*G403</x:f>
        <x:v>0</x:v>
      </x:c>
      <x:c r="M403" s="50"/>
      <x:c r="N403" s="66"/>
      <x:c r="O403" s="50"/>
    </x:row>
    <x:row r="404">
      <x:c r="A404" s="50"/>
      <x:c r="B404" s="64"/>
      <x:c r="C404" s="50"/>
      <x:c r="D404" s="50"/>
      <x:c r="E404" s="50" t="str">
        <x:f>IFERROR(VLOOKUP(D404,Inventory!$B:$D,2,FALSE),"")</x:f>
      </x:c>
      <x:c r="F404" s="50" t="str">
        <x:f>IFERROR(VLOOKUP(D404,Inventory!$B:$D,3,FALSE),"")</x:f>
      </x:c>
      <x:c r="G404" s="65" t="n">
        <x:v>0</x:v>
      </x:c>
      <x:c r="H404" s="66" t="n">
        <x:v>0</x:v>
      </x:c>
      <x:c r="I404" s="66" t="n">
        <x:f>G404*H404</x:f>
        <x:v>0</x:v>
      </x:c>
      <x:c r="J404" s="66" t="str">
        <x:f>IFERROR(VLOOKUP(D404,Inventory!$B:$F,4,FALSE),0)</x:f>
      </x:c>
      <x:c r="K404" s="66" t="n">
        <x:f>H404-J404</x:f>
        <x:v>0</x:v>
      </x:c>
      <x:c r="L404" s="66" t="n">
        <x:f>K404*G404</x:f>
        <x:v>0</x:v>
      </x:c>
      <x:c r="M404" s="50"/>
      <x:c r="N404" s="66"/>
      <x:c r="O404" s="50"/>
    </x:row>
    <x:row r="405">
      <x:c r="A405" s="50"/>
      <x:c r="B405" s="64"/>
      <x:c r="C405" s="50"/>
      <x:c r="D405" s="50"/>
      <x:c r="E405" s="50" t="str">
        <x:f>IFERROR(VLOOKUP(D405,Inventory!$B:$D,2,FALSE),"")</x:f>
      </x:c>
      <x:c r="F405" s="50" t="str">
        <x:f>IFERROR(VLOOKUP(D405,Inventory!$B:$D,3,FALSE),"")</x:f>
      </x:c>
      <x:c r="G405" s="65" t="n">
        <x:v>0</x:v>
      </x:c>
      <x:c r="H405" s="66" t="n">
        <x:v>0</x:v>
      </x:c>
      <x:c r="I405" s="66" t="n">
        <x:f>G405*H405</x:f>
        <x:v>0</x:v>
      </x:c>
      <x:c r="J405" s="66" t="str">
        <x:f>IFERROR(VLOOKUP(D405,Inventory!$B:$F,4,FALSE),0)</x:f>
      </x:c>
      <x:c r="K405" s="66" t="n">
        <x:f>H405-J405</x:f>
        <x:v>0</x:v>
      </x:c>
      <x:c r="L405" s="66" t="n">
        <x:f>K405*G405</x:f>
        <x:v>0</x:v>
      </x:c>
      <x:c r="M405" s="50"/>
      <x:c r="N405" s="66"/>
      <x:c r="O405" s="50"/>
    </x:row>
    <x:row r="406">
      <x:c r="A406" s="50"/>
      <x:c r="B406" s="64"/>
      <x:c r="C406" s="50"/>
      <x:c r="D406" s="50"/>
      <x:c r="E406" s="50" t="str">
        <x:f>IFERROR(VLOOKUP(D406,Inventory!$B:$D,2,FALSE),"")</x:f>
      </x:c>
      <x:c r="F406" s="50" t="str">
        <x:f>IFERROR(VLOOKUP(D406,Inventory!$B:$D,3,FALSE),"")</x:f>
      </x:c>
      <x:c r="G406" s="65" t="n">
        <x:v>0</x:v>
      </x:c>
      <x:c r="H406" s="66" t="n">
        <x:v>0</x:v>
      </x:c>
      <x:c r="I406" s="66" t="n">
        <x:f>G406*H406</x:f>
        <x:v>0</x:v>
      </x:c>
      <x:c r="J406" s="66" t="str">
        <x:f>IFERROR(VLOOKUP(D406,Inventory!$B:$F,4,FALSE),0)</x:f>
      </x:c>
      <x:c r="K406" s="66" t="n">
        <x:f>H406-J406</x:f>
        <x:v>0</x:v>
      </x:c>
      <x:c r="L406" s="66" t="n">
        <x:f>K406*G406</x:f>
        <x:v>0</x:v>
      </x:c>
      <x:c r="M406" s="50"/>
      <x:c r="N406" s="66"/>
      <x:c r="O406" s="50"/>
    </x:row>
    <x:row r="407">
      <x:c r="A407" s="50"/>
      <x:c r="B407" s="64"/>
      <x:c r="C407" s="50"/>
      <x:c r="D407" s="50"/>
      <x:c r="E407" s="50" t="str">
        <x:f>IFERROR(VLOOKUP(D407,Inventory!$B:$D,2,FALSE),"")</x:f>
      </x:c>
      <x:c r="F407" s="50" t="str">
        <x:f>IFERROR(VLOOKUP(D407,Inventory!$B:$D,3,FALSE),"")</x:f>
      </x:c>
      <x:c r="G407" s="65" t="n">
        <x:v>0</x:v>
      </x:c>
      <x:c r="H407" s="66" t="n">
        <x:v>0</x:v>
      </x:c>
      <x:c r="I407" s="66" t="n">
        <x:f>G407*H407</x:f>
        <x:v>0</x:v>
      </x:c>
      <x:c r="J407" s="66" t="str">
        <x:f>IFERROR(VLOOKUP(D407,Inventory!$B:$F,4,FALSE),0)</x:f>
      </x:c>
      <x:c r="K407" s="66" t="n">
        <x:f>H407-J407</x:f>
        <x:v>0</x:v>
      </x:c>
      <x:c r="L407" s="66" t="n">
        <x:f>K407*G407</x:f>
        <x:v>0</x:v>
      </x:c>
      <x:c r="M407" s="50"/>
      <x:c r="N407" s="66"/>
      <x:c r="O407" s="50"/>
    </x:row>
    <x:row r="408">
      <x:c r="A408" s="50"/>
      <x:c r="B408" s="64"/>
      <x:c r="C408" s="50"/>
      <x:c r="D408" s="50"/>
      <x:c r="E408" s="50" t="str">
        <x:f>IFERROR(VLOOKUP(D408,Inventory!$B:$D,2,FALSE),"")</x:f>
      </x:c>
      <x:c r="F408" s="50" t="str">
        <x:f>IFERROR(VLOOKUP(D408,Inventory!$B:$D,3,FALSE),"")</x:f>
      </x:c>
      <x:c r="G408" s="65" t="n">
        <x:v>0</x:v>
      </x:c>
      <x:c r="H408" s="66" t="n">
        <x:v>0</x:v>
      </x:c>
      <x:c r="I408" s="66" t="n">
        <x:f>G408*H408</x:f>
        <x:v>0</x:v>
      </x:c>
      <x:c r="J408" s="66" t="str">
        <x:f>IFERROR(VLOOKUP(D408,Inventory!$B:$F,4,FALSE),0)</x:f>
      </x:c>
      <x:c r="K408" s="66" t="n">
        <x:f>H408-J408</x:f>
        <x:v>0</x:v>
      </x:c>
      <x:c r="L408" s="66" t="n">
        <x:f>K408*G408</x:f>
        <x:v>0</x:v>
      </x:c>
      <x:c r="M408" s="50"/>
      <x:c r="N408" s="66"/>
      <x:c r="O408" s="50"/>
    </x:row>
    <x:row r="409">
      <x:c r="A409" s="50"/>
      <x:c r="B409" s="64"/>
      <x:c r="C409" s="50"/>
      <x:c r="D409" s="50"/>
      <x:c r="E409" s="50" t="str">
        <x:f>IFERROR(VLOOKUP(D409,Inventory!$B:$D,2,FALSE),"")</x:f>
      </x:c>
      <x:c r="F409" s="50" t="str">
        <x:f>IFERROR(VLOOKUP(D409,Inventory!$B:$D,3,FALSE),"")</x:f>
      </x:c>
      <x:c r="G409" s="65" t="n">
        <x:v>0</x:v>
      </x:c>
      <x:c r="H409" s="66" t="n">
        <x:v>0</x:v>
      </x:c>
      <x:c r="I409" s="66" t="n">
        <x:f>G409*H409</x:f>
        <x:v>0</x:v>
      </x:c>
      <x:c r="J409" s="66" t="str">
        <x:f>IFERROR(VLOOKUP(D409,Inventory!$B:$F,4,FALSE),0)</x:f>
      </x:c>
      <x:c r="K409" s="66" t="n">
        <x:f>H409-J409</x:f>
        <x:v>0</x:v>
      </x:c>
      <x:c r="L409" s="66" t="n">
        <x:f>K409*G409</x:f>
        <x:v>0</x:v>
      </x:c>
      <x:c r="M409" s="50"/>
      <x:c r="N409" s="66"/>
      <x:c r="O409" s="50"/>
    </x:row>
    <x:row r="410">
      <x:c r="A410" s="50"/>
      <x:c r="B410" s="64"/>
      <x:c r="C410" s="50"/>
      <x:c r="D410" s="50"/>
      <x:c r="E410" s="50" t="str">
        <x:f>IFERROR(VLOOKUP(D410,Inventory!$B:$D,2,FALSE),"")</x:f>
      </x:c>
      <x:c r="F410" s="50" t="str">
        <x:f>IFERROR(VLOOKUP(D410,Inventory!$B:$D,3,FALSE),"")</x:f>
      </x:c>
      <x:c r="G410" s="65" t="n">
        <x:v>0</x:v>
      </x:c>
      <x:c r="H410" s="66" t="n">
        <x:v>0</x:v>
      </x:c>
      <x:c r="I410" s="66" t="n">
        <x:f>G410*H410</x:f>
        <x:v>0</x:v>
      </x:c>
      <x:c r="J410" s="66" t="str">
        <x:f>IFERROR(VLOOKUP(D410,Inventory!$B:$F,4,FALSE),0)</x:f>
      </x:c>
      <x:c r="K410" s="66" t="n">
        <x:f>H410-J410</x:f>
        <x:v>0</x:v>
      </x:c>
      <x:c r="L410" s="66" t="n">
        <x:f>K410*G410</x:f>
        <x:v>0</x:v>
      </x:c>
      <x:c r="M410" s="50"/>
      <x:c r="N410" s="66"/>
      <x:c r="O410" s="50"/>
    </x:row>
    <x:row r="411">
      <x:c r="A411" s="50"/>
      <x:c r="B411" s="64"/>
      <x:c r="C411" s="50"/>
      <x:c r="D411" s="50"/>
      <x:c r="E411" s="50" t="str">
        <x:f>IFERROR(VLOOKUP(D411,Inventory!$B:$D,2,FALSE),"")</x:f>
      </x:c>
      <x:c r="F411" s="50" t="str">
        <x:f>IFERROR(VLOOKUP(D411,Inventory!$B:$D,3,FALSE),"")</x:f>
      </x:c>
      <x:c r="G411" s="65" t="n">
        <x:v>0</x:v>
      </x:c>
      <x:c r="H411" s="66" t="n">
        <x:v>0</x:v>
      </x:c>
      <x:c r="I411" s="66" t="n">
        <x:f>G411*H411</x:f>
        <x:v>0</x:v>
      </x:c>
      <x:c r="J411" s="66" t="str">
        <x:f>IFERROR(VLOOKUP(D411,Inventory!$B:$F,4,FALSE),0)</x:f>
      </x:c>
      <x:c r="K411" s="66" t="n">
        <x:f>H411-J411</x:f>
        <x:v>0</x:v>
      </x:c>
      <x:c r="L411" s="66" t="n">
        <x:f>K411*G411</x:f>
        <x:v>0</x:v>
      </x:c>
      <x:c r="M411" s="50"/>
      <x:c r="N411" s="66"/>
      <x:c r="O411" s="50"/>
    </x:row>
    <x:row r="412">
      <x:c r="A412" s="50"/>
      <x:c r="B412" s="64"/>
      <x:c r="C412" s="50"/>
      <x:c r="D412" s="50"/>
      <x:c r="E412" s="50" t="str">
        <x:f>IFERROR(VLOOKUP(D412,Inventory!$B:$D,2,FALSE),"")</x:f>
      </x:c>
      <x:c r="F412" s="50" t="str">
        <x:f>IFERROR(VLOOKUP(D412,Inventory!$B:$D,3,FALSE),"")</x:f>
      </x:c>
      <x:c r="G412" s="65" t="n">
        <x:v>0</x:v>
      </x:c>
      <x:c r="H412" s="66" t="n">
        <x:v>0</x:v>
      </x:c>
      <x:c r="I412" s="66" t="n">
        <x:f>G412*H412</x:f>
        <x:v>0</x:v>
      </x:c>
      <x:c r="J412" s="66" t="str">
        <x:f>IFERROR(VLOOKUP(D412,Inventory!$B:$F,4,FALSE),0)</x:f>
      </x:c>
      <x:c r="K412" s="66" t="n">
        <x:f>H412-J412</x:f>
        <x:v>0</x:v>
      </x:c>
      <x:c r="L412" s="66" t="n">
        <x:f>K412*G412</x:f>
        <x:v>0</x:v>
      </x:c>
      <x:c r="M412" s="50"/>
      <x:c r="N412" s="66"/>
      <x:c r="O412" s="50"/>
    </x:row>
    <x:row r="413">
      <x:c r="A413" s="50"/>
      <x:c r="B413" s="64"/>
      <x:c r="C413" s="50"/>
      <x:c r="D413" s="50"/>
      <x:c r="E413" s="50" t="str">
        <x:f>IFERROR(VLOOKUP(D413,Inventory!$B:$D,2,FALSE),"")</x:f>
      </x:c>
      <x:c r="F413" s="50" t="str">
        <x:f>IFERROR(VLOOKUP(D413,Inventory!$B:$D,3,FALSE),"")</x:f>
      </x:c>
      <x:c r="G413" s="65" t="n">
        <x:v>0</x:v>
      </x:c>
      <x:c r="H413" s="66" t="n">
        <x:v>0</x:v>
      </x:c>
      <x:c r="I413" s="66" t="n">
        <x:f>G413*H413</x:f>
        <x:v>0</x:v>
      </x:c>
      <x:c r="J413" s="66" t="str">
        <x:f>IFERROR(VLOOKUP(D413,Inventory!$B:$F,4,FALSE),0)</x:f>
      </x:c>
      <x:c r="K413" s="66" t="n">
        <x:f>H413-J413</x:f>
        <x:v>0</x:v>
      </x:c>
      <x:c r="L413" s="66" t="n">
        <x:f>K413*G413</x:f>
        <x:v>0</x:v>
      </x:c>
      <x:c r="M413" s="50"/>
      <x:c r="N413" s="66"/>
      <x:c r="O413" s="50"/>
    </x:row>
    <x:row r="414">
      <x:c r="A414" s="50"/>
      <x:c r="B414" s="64"/>
      <x:c r="C414" s="50"/>
      <x:c r="D414" s="50"/>
      <x:c r="E414" s="50" t="str">
        <x:f>IFERROR(VLOOKUP(D414,Inventory!$B:$D,2,FALSE),"")</x:f>
      </x:c>
      <x:c r="F414" s="50" t="str">
        <x:f>IFERROR(VLOOKUP(D414,Inventory!$B:$D,3,FALSE),"")</x:f>
      </x:c>
      <x:c r="G414" s="65" t="n">
        <x:v>0</x:v>
      </x:c>
      <x:c r="H414" s="66" t="n">
        <x:v>0</x:v>
      </x:c>
      <x:c r="I414" s="66" t="n">
        <x:f>G414*H414</x:f>
        <x:v>0</x:v>
      </x:c>
      <x:c r="J414" s="66" t="str">
        <x:f>IFERROR(VLOOKUP(D414,Inventory!$B:$F,4,FALSE),0)</x:f>
      </x:c>
      <x:c r="K414" s="66" t="n">
        <x:f>H414-J414</x:f>
        <x:v>0</x:v>
      </x:c>
      <x:c r="L414" s="66" t="n">
        <x:f>K414*G414</x:f>
        <x:v>0</x:v>
      </x:c>
      <x:c r="M414" s="50"/>
      <x:c r="N414" s="66"/>
      <x:c r="O414" s="50"/>
    </x:row>
    <x:row r="415">
      <x:c r="A415" s="50"/>
      <x:c r="B415" s="64"/>
      <x:c r="C415" s="50"/>
      <x:c r="D415" s="50"/>
      <x:c r="E415" s="50" t="str">
        <x:f>IFERROR(VLOOKUP(D415,Inventory!$B:$D,2,FALSE),"")</x:f>
      </x:c>
      <x:c r="F415" s="50" t="str">
        <x:f>IFERROR(VLOOKUP(D415,Inventory!$B:$D,3,FALSE),"")</x:f>
      </x:c>
      <x:c r="G415" s="65" t="n">
        <x:v>0</x:v>
      </x:c>
      <x:c r="H415" s="66" t="n">
        <x:v>0</x:v>
      </x:c>
      <x:c r="I415" s="66" t="n">
        <x:f>G415*H415</x:f>
        <x:v>0</x:v>
      </x:c>
      <x:c r="J415" s="66" t="str">
        <x:f>IFERROR(VLOOKUP(D415,Inventory!$B:$F,4,FALSE),0)</x:f>
      </x:c>
      <x:c r="K415" s="66" t="n">
        <x:f>H415-J415</x:f>
        <x:v>0</x:v>
      </x:c>
      <x:c r="L415" s="66" t="n">
        <x:f>K415*G415</x:f>
        <x:v>0</x:v>
      </x:c>
      <x:c r="M415" s="50"/>
      <x:c r="N415" s="66"/>
      <x:c r="O415" s="50"/>
    </x:row>
    <x:row r="416">
      <x:c r="A416" s="50"/>
      <x:c r="B416" s="64"/>
      <x:c r="C416" s="50"/>
      <x:c r="D416" s="50"/>
      <x:c r="E416" s="50" t="str">
        <x:f>IFERROR(VLOOKUP(D416,Inventory!$B:$D,2,FALSE),"")</x:f>
      </x:c>
      <x:c r="F416" s="50" t="str">
        <x:f>IFERROR(VLOOKUP(D416,Inventory!$B:$D,3,FALSE),"")</x:f>
      </x:c>
      <x:c r="G416" s="65" t="n">
        <x:v>0</x:v>
      </x:c>
      <x:c r="H416" s="66" t="n">
        <x:v>0</x:v>
      </x:c>
      <x:c r="I416" s="66" t="n">
        <x:f>G416*H416</x:f>
        <x:v>0</x:v>
      </x:c>
      <x:c r="J416" s="66" t="str">
        <x:f>IFERROR(VLOOKUP(D416,Inventory!$B:$F,4,FALSE),0)</x:f>
      </x:c>
      <x:c r="K416" s="66" t="n">
        <x:f>H416-J416</x:f>
        <x:v>0</x:v>
      </x:c>
      <x:c r="L416" s="66" t="n">
        <x:f>K416*G416</x:f>
        <x:v>0</x:v>
      </x:c>
      <x:c r="M416" s="50"/>
      <x:c r="N416" s="66"/>
      <x:c r="O416" s="50"/>
    </x:row>
    <x:row r="417">
      <x:c r="A417" s="50"/>
      <x:c r="B417" s="64"/>
      <x:c r="C417" s="50"/>
      <x:c r="D417" s="50"/>
      <x:c r="E417" s="50" t="str">
        <x:f>IFERROR(VLOOKUP(D417,Inventory!$B:$D,2,FALSE),"")</x:f>
      </x:c>
      <x:c r="F417" s="50" t="str">
        <x:f>IFERROR(VLOOKUP(D417,Inventory!$B:$D,3,FALSE),"")</x:f>
      </x:c>
      <x:c r="G417" s="65" t="n">
        <x:v>0</x:v>
      </x:c>
      <x:c r="H417" s="66" t="n">
        <x:v>0</x:v>
      </x:c>
      <x:c r="I417" s="66" t="n">
        <x:f>G417*H417</x:f>
        <x:v>0</x:v>
      </x:c>
      <x:c r="J417" s="66" t="str">
        <x:f>IFERROR(VLOOKUP(D417,Inventory!$B:$F,4,FALSE),0)</x:f>
      </x:c>
      <x:c r="K417" s="66" t="n">
        <x:f>H417-J417</x:f>
        <x:v>0</x:v>
      </x:c>
      <x:c r="L417" s="66" t="n">
        <x:f>K417*G417</x:f>
        <x:v>0</x:v>
      </x:c>
      <x:c r="M417" s="50"/>
      <x:c r="N417" s="66"/>
      <x:c r="O417" s="50"/>
    </x:row>
    <x:row r="418">
      <x:c r="A418" s="50"/>
      <x:c r="B418" s="64"/>
      <x:c r="C418" s="50"/>
      <x:c r="D418" s="50"/>
      <x:c r="E418" s="50" t="str">
        <x:f>IFERROR(VLOOKUP(D418,Inventory!$B:$D,2,FALSE),"")</x:f>
      </x:c>
      <x:c r="F418" s="50" t="str">
        <x:f>IFERROR(VLOOKUP(D418,Inventory!$B:$D,3,FALSE),"")</x:f>
      </x:c>
      <x:c r="G418" s="65" t="n">
        <x:v>0</x:v>
      </x:c>
      <x:c r="H418" s="66" t="n">
        <x:v>0</x:v>
      </x:c>
      <x:c r="I418" s="66" t="n">
        <x:f>G418*H418</x:f>
        <x:v>0</x:v>
      </x:c>
      <x:c r="J418" s="66" t="str">
        <x:f>IFERROR(VLOOKUP(D418,Inventory!$B:$F,4,FALSE),0)</x:f>
      </x:c>
      <x:c r="K418" s="66" t="n">
        <x:f>H418-J418</x:f>
        <x:v>0</x:v>
      </x:c>
      <x:c r="L418" s="66" t="n">
        <x:f>K418*G418</x:f>
        <x:v>0</x:v>
      </x:c>
      <x:c r="M418" s="50"/>
      <x:c r="N418" s="66"/>
      <x:c r="O418" s="50"/>
    </x:row>
    <x:row r="419">
      <x:c r="A419" s="50"/>
      <x:c r="B419" s="64"/>
      <x:c r="C419" s="50"/>
      <x:c r="D419" s="50"/>
      <x:c r="E419" s="50" t="str">
        <x:f>IFERROR(VLOOKUP(D419,Inventory!$B:$D,2,FALSE),"")</x:f>
      </x:c>
      <x:c r="F419" s="50" t="str">
        <x:f>IFERROR(VLOOKUP(D419,Inventory!$B:$D,3,FALSE),"")</x:f>
      </x:c>
      <x:c r="G419" s="65" t="n">
        <x:v>0</x:v>
      </x:c>
      <x:c r="H419" s="66" t="n">
        <x:v>0</x:v>
      </x:c>
      <x:c r="I419" s="66" t="n">
        <x:f>G419*H419</x:f>
        <x:v>0</x:v>
      </x:c>
      <x:c r="J419" s="66" t="str">
        <x:f>IFERROR(VLOOKUP(D419,Inventory!$B:$F,4,FALSE),0)</x:f>
      </x:c>
      <x:c r="K419" s="66" t="n">
        <x:f>H419-J419</x:f>
        <x:v>0</x:v>
      </x:c>
      <x:c r="L419" s="66" t="n">
        <x:f>K419*G419</x:f>
        <x:v>0</x:v>
      </x:c>
      <x:c r="M419" s="50"/>
      <x:c r="N419" s="66"/>
      <x:c r="O419" s="50"/>
    </x:row>
    <x:row r="420">
      <x:c r="A420" s="50"/>
      <x:c r="B420" s="64"/>
      <x:c r="C420" s="50"/>
      <x:c r="D420" s="50"/>
      <x:c r="E420" s="50" t="str">
        <x:f>IFERROR(VLOOKUP(D420,Inventory!$B:$D,2,FALSE),"")</x:f>
      </x:c>
      <x:c r="F420" s="50" t="str">
        <x:f>IFERROR(VLOOKUP(D420,Inventory!$B:$D,3,FALSE),"")</x:f>
      </x:c>
      <x:c r="G420" s="65" t="n">
        <x:v>0</x:v>
      </x:c>
      <x:c r="H420" s="66" t="n">
        <x:v>0</x:v>
      </x:c>
      <x:c r="I420" s="66" t="n">
        <x:f>G420*H420</x:f>
        <x:v>0</x:v>
      </x:c>
      <x:c r="J420" s="66" t="str">
        <x:f>IFERROR(VLOOKUP(D420,Inventory!$B:$F,4,FALSE),0)</x:f>
      </x:c>
      <x:c r="K420" s="66" t="n">
        <x:f>H420-J420</x:f>
        <x:v>0</x:v>
      </x:c>
      <x:c r="L420" s="66" t="n">
        <x:f>K420*G420</x:f>
        <x:v>0</x:v>
      </x:c>
      <x:c r="M420" s="50"/>
      <x:c r="N420" s="66"/>
      <x:c r="O420" s="50"/>
    </x:row>
    <x:row r="421">
      <x:c r="A421" s="50"/>
      <x:c r="B421" s="64"/>
      <x:c r="C421" s="50"/>
      <x:c r="D421" s="50"/>
      <x:c r="E421" s="50" t="str">
        <x:f>IFERROR(VLOOKUP(D421,Inventory!$B:$D,2,FALSE),"")</x:f>
      </x:c>
      <x:c r="F421" s="50" t="str">
        <x:f>IFERROR(VLOOKUP(D421,Inventory!$B:$D,3,FALSE),"")</x:f>
      </x:c>
      <x:c r="G421" s="65" t="n">
        <x:v>0</x:v>
      </x:c>
      <x:c r="H421" s="66" t="n">
        <x:v>0</x:v>
      </x:c>
      <x:c r="I421" s="66" t="n">
        <x:f>G421*H421</x:f>
        <x:v>0</x:v>
      </x:c>
      <x:c r="J421" s="66" t="str">
        <x:f>IFERROR(VLOOKUP(D421,Inventory!$B:$F,4,FALSE),0)</x:f>
      </x:c>
      <x:c r="K421" s="66" t="n">
        <x:f>H421-J421</x:f>
        <x:v>0</x:v>
      </x:c>
      <x:c r="L421" s="66" t="n">
        <x:f>K421*G421</x:f>
        <x:v>0</x:v>
      </x:c>
      <x:c r="M421" s="50"/>
      <x:c r="N421" s="66"/>
      <x:c r="O421" s="50"/>
    </x:row>
    <x:row r="422">
      <x:c r="A422" s="50"/>
      <x:c r="B422" s="64"/>
      <x:c r="C422" s="50"/>
      <x:c r="D422" s="50"/>
      <x:c r="E422" s="50" t="str">
        <x:f>IFERROR(VLOOKUP(D422,Inventory!$B:$D,2,FALSE),"")</x:f>
      </x:c>
      <x:c r="F422" s="50" t="str">
        <x:f>IFERROR(VLOOKUP(D422,Inventory!$B:$D,3,FALSE),"")</x:f>
      </x:c>
      <x:c r="G422" s="65" t="n">
        <x:v>0</x:v>
      </x:c>
      <x:c r="H422" s="66" t="n">
        <x:v>0</x:v>
      </x:c>
      <x:c r="I422" s="66" t="n">
        <x:f>G422*H422</x:f>
        <x:v>0</x:v>
      </x:c>
      <x:c r="J422" s="66" t="str">
        <x:f>IFERROR(VLOOKUP(D422,Inventory!$B:$F,4,FALSE),0)</x:f>
      </x:c>
      <x:c r="K422" s="66" t="n">
        <x:f>H422-J422</x:f>
        <x:v>0</x:v>
      </x:c>
      <x:c r="L422" s="66" t="n">
        <x:f>K422*G422</x:f>
        <x:v>0</x:v>
      </x:c>
      <x:c r="M422" s="50"/>
      <x:c r="N422" s="66"/>
      <x:c r="O422" s="50"/>
    </x:row>
    <x:row r="423">
      <x:c r="A423" s="50"/>
      <x:c r="B423" s="64"/>
      <x:c r="C423" s="50"/>
      <x:c r="D423" s="50"/>
      <x:c r="E423" s="50" t="str">
        <x:f>IFERROR(VLOOKUP(D423,Inventory!$B:$D,2,FALSE),"")</x:f>
      </x:c>
      <x:c r="F423" s="50" t="str">
        <x:f>IFERROR(VLOOKUP(D423,Inventory!$B:$D,3,FALSE),"")</x:f>
      </x:c>
      <x:c r="G423" s="65" t="n">
        <x:v>0</x:v>
      </x:c>
      <x:c r="H423" s="66" t="n">
        <x:v>0</x:v>
      </x:c>
      <x:c r="I423" s="66" t="n">
        <x:f>G423*H423</x:f>
        <x:v>0</x:v>
      </x:c>
      <x:c r="J423" s="66" t="str">
        <x:f>IFERROR(VLOOKUP(D423,Inventory!$B:$F,4,FALSE),0)</x:f>
      </x:c>
      <x:c r="K423" s="66" t="n">
        <x:f>H423-J423</x:f>
        <x:v>0</x:v>
      </x:c>
      <x:c r="L423" s="66" t="n">
        <x:f>K423*G423</x:f>
        <x:v>0</x:v>
      </x:c>
      <x:c r="M423" s="50"/>
      <x:c r="N423" s="66"/>
      <x:c r="O423" s="50"/>
    </x:row>
    <x:row r="424">
      <x:c r="A424" s="50"/>
      <x:c r="B424" s="64"/>
      <x:c r="C424" s="50"/>
      <x:c r="D424" s="50"/>
      <x:c r="E424" s="50" t="str">
        <x:f>IFERROR(VLOOKUP(D424,Inventory!$B:$D,2,FALSE),"")</x:f>
      </x:c>
      <x:c r="F424" s="50" t="str">
        <x:f>IFERROR(VLOOKUP(D424,Inventory!$B:$D,3,FALSE),"")</x:f>
      </x:c>
      <x:c r="G424" s="65" t="n">
        <x:v>0</x:v>
      </x:c>
      <x:c r="H424" s="66" t="n">
        <x:v>0</x:v>
      </x:c>
      <x:c r="I424" s="66" t="n">
        <x:f>G424*H424</x:f>
        <x:v>0</x:v>
      </x:c>
      <x:c r="J424" s="66" t="str">
        <x:f>IFERROR(VLOOKUP(D424,Inventory!$B:$F,4,FALSE),0)</x:f>
      </x:c>
      <x:c r="K424" s="66" t="n">
        <x:f>H424-J424</x:f>
        <x:v>0</x:v>
      </x:c>
      <x:c r="L424" s="66" t="n">
        <x:f>K424*G424</x:f>
        <x:v>0</x:v>
      </x:c>
      <x:c r="M424" s="50"/>
      <x:c r="N424" s="66"/>
      <x:c r="O424" s="50"/>
    </x:row>
    <x:row r="425">
      <x:c r="A425" s="50"/>
      <x:c r="B425" s="64"/>
      <x:c r="C425" s="50"/>
      <x:c r="D425" s="50"/>
      <x:c r="E425" s="50" t="str">
        <x:f>IFERROR(VLOOKUP(D425,Inventory!$B:$D,2,FALSE),"")</x:f>
      </x:c>
      <x:c r="F425" s="50" t="str">
        <x:f>IFERROR(VLOOKUP(D425,Inventory!$B:$D,3,FALSE),"")</x:f>
      </x:c>
      <x:c r="G425" s="65" t="n">
        <x:v>0</x:v>
      </x:c>
      <x:c r="H425" s="66" t="n">
        <x:v>0</x:v>
      </x:c>
      <x:c r="I425" s="66" t="n">
        <x:f>G425*H425</x:f>
        <x:v>0</x:v>
      </x:c>
      <x:c r="J425" s="66" t="str">
        <x:f>IFERROR(VLOOKUP(D425,Inventory!$B:$F,4,FALSE),0)</x:f>
      </x:c>
      <x:c r="K425" s="66" t="n">
        <x:f>H425-J425</x:f>
        <x:v>0</x:v>
      </x:c>
      <x:c r="L425" s="66" t="n">
        <x:f>K425*G425</x:f>
        <x:v>0</x:v>
      </x:c>
      <x:c r="M425" s="50"/>
      <x:c r="N425" s="66"/>
      <x:c r="O425" s="50"/>
    </x:row>
    <x:row r="426">
      <x:c r="A426" s="50"/>
      <x:c r="B426" s="64"/>
      <x:c r="C426" s="50"/>
      <x:c r="D426" s="50"/>
      <x:c r="E426" s="50" t="str">
        <x:f>IFERROR(VLOOKUP(D426,Inventory!$B:$D,2,FALSE),"")</x:f>
      </x:c>
      <x:c r="F426" s="50" t="str">
        <x:f>IFERROR(VLOOKUP(D426,Inventory!$B:$D,3,FALSE),"")</x:f>
      </x:c>
      <x:c r="G426" s="65" t="n">
        <x:v>0</x:v>
      </x:c>
      <x:c r="H426" s="66" t="n">
        <x:v>0</x:v>
      </x:c>
      <x:c r="I426" s="66" t="n">
        <x:f>G426*H426</x:f>
        <x:v>0</x:v>
      </x:c>
      <x:c r="J426" s="66" t="str">
        <x:f>IFERROR(VLOOKUP(D426,Inventory!$B:$F,4,FALSE),0)</x:f>
      </x:c>
      <x:c r="K426" s="66" t="n">
        <x:f>H426-J426</x:f>
        <x:v>0</x:v>
      </x:c>
      <x:c r="L426" s="66" t="n">
        <x:f>K426*G426</x:f>
        <x:v>0</x:v>
      </x:c>
      <x:c r="M426" s="50"/>
      <x:c r="N426" s="66"/>
      <x:c r="O426" s="50"/>
    </x:row>
    <x:row r="427">
      <x:c r="A427" s="50"/>
      <x:c r="B427" s="64"/>
      <x:c r="C427" s="50"/>
      <x:c r="D427" s="50"/>
      <x:c r="E427" s="50" t="str">
        <x:f>IFERROR(VLOOKUP(D427,Inventory!$B:$D,2,FALSE),"")</x:f>
      </x:c>
      <x:c r="F427" s="50" t="str">
        <x:f>IFERROR(VLOOKUP(D427,Inventory!$B:$D,3,FALSE),"")</x:f>
      </x:c>
      <x:c r="G427" s="65" t="n">
        <x:v>0</x:v>
      </x:c>
      <x:c r="H427" s="66" t="n">
        <x:v>0</x:v>
      </x:c>
      <x:c r="I427" s="66" t="n">
        <x:f>G427*H427</x:f>
        <x:v>0</x:v>
      </x:c>
      <x:c r="J427" s="66" t="str">
        <x:f>IFERROR(VLOOKUP(D427,Inventory!$B:$F,4,FALSE),0)</x:f>
      </x:c>
      <x:c r="K427" s="66" t="n">
        <x:f>H427-J427</x:f>
        <x:v>0</x:v>
      </x:c>
      <x:c r="L427" s="66" t="n">
        <x:f>K427*G427</x:f>
        <x:v>0</x:v>
      </x:c>
      <x:c r="M427" s="50"/>
      <x:c r="N427" s="66"/>
      <x:c r="O427" s="50"/>
    </x:row>
    <x:row r="428">
      <x:c r="A428" s="50"/>
      <x:c r="B428" s="64"/>
      <x:c r="C428" s="50"/>
      <x:c r="D428" s="50"/>
      <x:c r="E428" s="50" t="str">
        <x:f>IFERROR(VLOOKUP(D428,Inventory!$B:$D,2,FALSE),"")</x:f>
      </x:c>
      <x:c r="F428" s="50" t="str">
        <x:f>IFERROR(VLOOKUP(D428,Inventory!$B:$D,3,FALSE),"")</x:f>
      </x:c>
      <x:c r="G428" s="65" t="n">
        <x:v>0</x:v>
      </x:c>
      <x:c r="H428" s="66" t="n">
        <x:v>0</x:v>
      </x:c>
      <x:c r="I428" s="66" t="n">
        <x:f>G428*H428</x:f>
        <x:v>0</x:v>
      </x:c>
      <x:c r="J428" s="66" t="str">
        <x:f>IFERROR(VLOOKUP(D428,Inventory!$B:$F,4,FALSE),0)</x:f>
      </x:c>
      <x:c r="K428" s="66" t="n">
        <x:f>H428-J428</x:f>
        <x:v>0</x:v>
      </x:c>
      <x:c r="L428" s="66" t="n">
        <x:f>K428*G428</x:f>
        <x:v>0</x:v>
      </x:c>
      <x:c r="M428" s="50"/>
      <x:c r="N428" s="66"/>
      <x:c r="O428" s="50"/>
    </x:row>
    <x:row r="429">
      <x:c r="A429" s="50"/>
      <x:c r="B429" s="64"/>
      <x:c r="C429" s="50"/>
      <x:c r="D429" s="50"/>
      <x:c r="E429" s="50" t="str">
        <x:f>IFERROR(VLOOKUP(D429,Inventory!$B:$D,2,FALSE),"")</x:f>
      </x:c>
      <x:c r="F429" s="50" t="str">
        <x:f>IFERROR(VLOOKUP(D429,Inventory!$B:$D,3,FALSE),"")</x:f>
      </x:c>
      <x:c r="G429" s="65" t="n">
        <x:v>0</x:v>
      </x:c>
      <x:c r="H429" s="66" t="n">
        <x:v>0</x:v>
      </x:c>
      <x:c r="I429" s="66" t="n">
        <x:f>G429*H429</x:f>
        <x:v>0</x:v>
      </x:c>
      <x:c r="J429" s="66" t="str">
        <x:f>IFERROR(VLOOKUP(D429,Inventory!$B:$F,4,FALSE),0)</x:f>
      </x:c>
      <x:c r="K429" s="66" t="n">
        <x:f>H429-J429</x:f>
        <x:v>0</x:v>
      </x:c>
      <x:c r="L429" s="66" t="n">
        <x:f>K429*G429</x:f>
        <x:v>0</x:v>
      </x:c>
      <x:c r="M429" s="50"/>
      <x:c r="N429" s="66"/>
      <x:c r="O429" s="50"/>
    </x:row>
    <x:row r="430">
      <x:c r="A430" s="50"/>
      <x:c r="B430" s="64"/>
      <x:c r="C430" s="50"/>
      <x:c r="D430" s="50"/>
      <x:c r="E430" s="50" t="str">
        <x:f>IFERROR(VLOOKUP(D430,Inventory!$B:$D,2,FALSE),"")</x:f>
      </x:c>
      <x:c r="F430" s="50" t="str">
        <x:f>IFERROR(VLOOKUP(D430,Inventory!$B:$D,3,FALSE),"")</x:f>
      </x:c>
      <x:c r="G430" s="65" t="n">
        <x:v>0</x:v>
      </x:c>
      <x:c r="H430" s="66" t="n">
        <x:v>0</x:v>
      </x:c>
      <x:c r="I430" s="66" t="n">
        <x:f>G430*H430</x:f>
        <x:v>0</x:v>
      </x:c>
      <x:c r="J430" s="66" t="str">
        <x:f>IFERROR(VLOOKUP(D430,Inventory!$B:$F,4,FALSE),0)</x:f>
      </x:c>
      <x:c r="K430" s="66" t="n">
        <x:f>H430-J430</x:f>
        <x:v>0</x:v>
      </x:c>
      <x:c r="L430" s="66" t="n">
        <x:f>K430*G430</x:f>
        <x:v>0</x:v>
      </x:c>
      <x:c r="M430" s="50"/>
      <x:c r="N430" s="66"/>
      <x:c r="O430" s="50"/>
    </x:row>
    <x:row r="431">
      <x:c r="A431" s="50"/>
      <x:c r="B431" s="64"/>
      <x:c r="C431" s="50"/>
      <x:c r="D431" s="50"/>
      <x:c r="E431" s="50" t="str">
        <x:f>IFERROR(VLOOKUP(D431,Inventory!$B:$D,2,FALSE),"")</x:f>
      </x:c>
      <x:c r="F431" s="50" t="str">
        <x:f>IFERROR(VLOOKUP(D431,Inventory!$B:$D,3,FALSE),"")</x:f>
      </x:c>
      <x:c r="G431" s="65" t="n">
        <x:v>0</x:v>
      </x:c>
      <x:c r="H431" s="66" t="n">
        <x:v>0</x:v>
      </x:c>
      <x:c r="I431" s="66" t="n">
        <x:f>G431*H431</x:f>
        <x:v>0</x:v>
      </x:c>
      <x:c r="J431" s="66" t="str">
        <x:f>IFERROR(VLOOKUP(D431,Inventory!$B:$F,4,FALSE),0)</x:f>
      </x:c>
      <x:c r="K431" s="66" t="n">
        <x:f>H431-J431</x:f>
        <x:v>0</x:v>
      </x:c>
      <x:c r="L431" s="66" t="n">
        <x:f>K431*G431</x:f>
        <x:v>0</x:v>
      </x:c>
      <x:c r="M431" s="50"/>
      <x:c r="N431" s="66"/>
      <x:c r="O431" s="50"/>
    </x:row>
    <x:row r="432">
      <x:c r="A432" s="50"/>
      <x:c r="B432" s="64"/>
      <x:c r="C432" s="50"/>
      <x:c r="D432" s="50"/>
      <x:c r="E432" s="50" t="str">
        <x:f>IFERROR(VLOOKUP(D432,Inventory!$B:$D,2,FALSE),"")</x:f>
      </x:c>
      <x:c r="F432" s="50" t="str">
        <x:f>IFERROR(VLOOKUP(D432,Inventory!$B:$D,3,FALSE),"")</x:f>
      </x:c>
      <x:c r="G432" s="65" t="n">
        <x:v>0</x:v>
      </x:c>
      <x:c r="H432" s="66" t="n">
        <x:v>0</x:v>
      </x:c>
      <x:c r="I432" s="66" t="n">
        <x:f>G432*H432</x:f>
        <x:v>0</x:v>
      </x:c>
      <x:c r="J432" s="66" t="str">
        <x:f>IFERROR(VLOOKUP(D432,Inventory!$B:$F,4,FALSE),0)</x:f>
      </x:c>
      <x:c r="K432" s="66" t="n">
        <x:f>H432-J432</x:f>
        <x:v>0</x:v>
      </x:c>
      <x:c r="L432" s="66" t="n">
        <x:f>K432*G432</x:f>
        <x:v>0</x:v>
      </x:c>
      <x:c r="M432" s="50"/>
      <x:c r="N432" s="66"/>
      <x:c r="O432" s="50"/>
    </x:row>
    <x:row r="433">
      <x:c r="A433" s="50"/>
      <x:c r="B433" s="64"/>
      <x:c r="C433" s="50"/>
      <x:c r="D433" s="50"/>
      <x:c r="E433" s="50" t="str">
        <x:f>IFERROR(VLOOKUP(D433,Inventory!$B:$D,2,FALSE),"")</x:f>
      </x:c>
      <x:c r="F433" s="50" t="str">
        <x:f>IFERROR(VLOOKUP(D433,Inventory!$B:$D,3,FALSE),"")</x:f>
      </x:c>
      <x:c r="G433" s="65" t="n">
        <x:v>0</x:v>
      </x:c>
      <x:c r="H433" s="66" t="n">
        <x:v>0</x:v>
      </x:c>
      <x:c r="I433" s="66" t="n">
        <x:f>G433*H433</x:f>
        <x:v>0</x:v>
      </x:c>
      <x:c r="J433" s="66" t="str">
        <x:f>IFERROR(VLOOKUP(D433,Inventory!$B:$F,4,FALSE),0)</x:f>
      </x:c>
      <x:c r="K433" s="66" t="n">
        <x:f>H433-J433</x:f>
        <x:v>0</x:v>
      </x:c>
      <x:c r="L433" s="66" t="n">
        <x:f>K433*G433</x:f>
        <x:v>0</x:v>
      </x:c>
      <x:c r="M433" s="50"/>
      <x:c r="N433" s="66"/>
      <x:c r="O433" s="50"/>
    </x:row>
    <x:row r="434">
      <x:c r="A434" s="50"/>
      <x:c r="B434" s="64"/>
      <x:c r="C434" s="50"/>
      <x:c r="D434" s="50"/>
      <x:c r="E434" s="50" t="str">
        <x:f>IFERROR(VLOOKUP(D434,Inventory!$B:$D,2,FALSE),"")</x:f>
      </x:c>
      <x:c r="F434" s="50" t="str">
        <x:f>IFERROR(VLOOKUP(D434,Inventory!$B:$D,3,FALSE),"")</x:f>
      </x:c>
      <x:c r="G434" s="65" t="n">
        <x:v>0</x:v>
      </x:c>
      <x:c r="H434" s="66" t="n">
        <x:v>0</x:v>
      </x:c>
      <x:c r="I434" s="66" t="n">
        <x:f>G434*H434</x:f>
        <x:v>0</x:v>
      </x:c>
      <x:c r="J434" s="66" t="str">
        <x:f>IFERROR(VLOOKUP(D434,Inventory!$B:$F,4,FALSE),0)</x:f>
      </x:c>
      <x:c r="K434" s="66" t="n">
        <x:f>H434-J434</x:f>
        <x:v>0</x:v>
      </x:c>
      <x:c r="L434" s="66" t="n">
        <x:f>K434*G434</x:f>
        <x:v>0</x:v>
      </x:c>
      <x:c r="M434" s="50"/>
      <x:c r="N434" s="66"/>
      <x:c r="O434" s="50"/>
    </x:row>
    <x:row r="435">
      <x:c r="A435" s="50"/>
      <x:c r="B435" s="64"/>
      <x:c r="C435" s="50"/>
      <x:c r="D435" s="50"/>
      <x:c r="E435" s="50" t="str">
        <x:f>IFERROR(VLOOKUP(D435,Inventory!$B:$D,2,FALSE),"")</x:f>
      </x:c>
      <x:c r="F435" s="50" t="str">
        <x:f>IFERROR(VLOOKUP(D435,Inventory!$B:$D,3,FALSE),"")</x:f>
      </x:c>
      <x:c r="G435" s="65" t="n">
        <x:v>0</x:v>
      </x:c>
      <x:c r="H435" s="66" t="n">
        <x:v>0</x:v>
      </x:c>
      <x:c r="I435" s="66" t="n">
        <x:f>G435*H435</x:f>
        <x:v>0</x:v>
      </x:c>
      <x:c r="J435" s="66" t="str">
        <x:f>IFERROR(VLOOKUP(D435,Inventory!$B:$F,4,FALSE),0)</x:f>
      </x:c>
      <x:c r="K435" s="66" t="n">
        <x:f>H435-J435</x:f>
        <x:v>0</x:v>
      </x:c>
      <x:c r="L435" s="66" t="n">
        <x:f>K435*G435</x:f>
        <x:v>0</x:v>
      </x:c>
      <x:c r="M435" s="50"/>
      <x:c r="N435" s="66"/>
      <x:c r="O435" s="50"/>
    </x:row>
    <x:row r="436">
      <x:c r="A436" s="50"/>
      <x:c r="B436" s="64"/>
      <x:c r="C436" s="50"/>
      <x:c r="D436" s="50"/>
      <x:c r="E436" s="50" t="str">
        <x:f>IFERROR(VLOOKUP(D436,Inventory!$B:$D,2,FALSE),"")</x:f>
      </x:c>
      <x:c r="F436" s="50" t="str">
        <x:f>IFERROR(VLOOKUP(D436,Inventory!$B:$D,3,FALSE),"")</x:f>
      </x:c>
      <x:c r="G436" s="65" t="n">
        <x:v>0</x:v>
      </x:c>
      <x:c r="H436" s="66" t="n">
        <x:v>0</x:v>
      </x:c>
      <x:c r="I436" s="66" t="n">
        <x:f>G436*H436</x:f>
        <x:v>0</x:v>
      </x:c>
      <x:c r="J436" s="66" t="str">
        <x:f>IFERROR(VLOOKUP(D436,Inventory!$B:$F,4,FALSE),0)</x:f>
      </x:c>
      <x:c r="K436" s="66" t="n">
        <x:f>H436-J436</x:f>
        <x:v>0</x:v>
      </x:c>
      <x:c r="L436" s="66" t="n">
        <x:f>K436*G436</x:f>
        <x:v>0</x:v>
      </x:c>
      <x:c r="M436" s="50"/>
      <x:c r="N436" s="66"/>
      <x:c r="O436" s="50"/>
    </x:row>
    <x:row r="437">
      <x:c r="A437" s="50"/>
      <x:c r="B437" s="64"/>
      <x:c r="C437" s="50"/>
      <x:c r="D437" s="50"/>
      <x:c r="E437" s="50" t="str">
        <x:f>IFERROR(VLOOKUP(D437,Inventory!$B:$D,2,FALSE),"")</x:f>
      </x:c>
      <x:c r="F437" s="50" t="str">
        <x:f>IFERROR(VLOOKUP(D437,Inventory!$B:$D,3,FALSE),"")</x:f>
      </x:c>
      <x:c r="G437" s="65" t="n">
        <x:v>0</x:v>
      </x:c>
      <x:c r="H437" s="66" t="n">
        <x:v>0</x:v>
      </x:c>
      <x:c r="I437" s="66" t="n">
        <x:f>G437*H437</x:f>
        <x:v>0</x:v>
      </x:c>
      <x:c r="J437" s="66" t="str">
        <x:f>IFERROR(VLOOKUP(D437,Inventory!$B:$F,4,FALSE),0)</x:f>
      </x:c>
      <x:c r="K437" s="66" t="n">
        <x:f>H437-J437</x:f>
        <x:v>0</x:v>
      </x:c>
      <x:c r="L437" s="66" t="n">
        <x:f>K437*G437</x:f>
        <x:v>0</x:v>
      </x:c>
      <x:c r="M437" s="50"/>
      <x:c r="N437" s="66"/>
      <x:c r="O437" s="50"/>
    </x:row>
    <x:row r="438">
      <x:c r="A438" s="50"/>
      <x:c r="B438" s="64"/>
      <x:c r="C438" s="50"/>
      <x:c r="D438" s="50"/>
      <x:c r="E438" s="50" t="str">
        <x:f>IFERROR(VLOOKUP(D438,Inventory!$B:$D,2,FALSE),"")</x:f>
      </x:c>
      <x:c r="F438" s="50" t="str">
        <x:f>IFERROR(VLOOKUP(D438,Inventory!$B:$D,3,FALSE),"")</x:f>
      </x:c>
      <x:c r="G438" s="65" t="n">
        <x:v>0</x:v>
      </x:c>
      <x:c r="H438" s="66" t="n">
        <x:v>0</x:v>
      </x:c>
      <x:c r="I438" s="66" t="n">
        <x:f>G438*H438</x:f>
        <x:v>0</x:v>
      </x:c>
      <x:c r="J438" s="66" t="str">
        <x:f>IFERROR(VLOOKUP(D438,Inventory!$B:$F,4,FALSE),0)</x:f>
      </x:c>
      <x:c r="K438" s="66" t="n">
        <x:f>H438-J438</x:f>
        <x:v>0</x:v>
      </x:c>
      <x:c r="L438" s="66" t="n">
        <x:f>K438*G438</x:f>
        <x:v>0</x:v>
      </x:c>
      <x:c r="M438" s="50"/>
      <x:c r="N438" s="66"/>
      <x:c r="O438" s="50"/>
    </x:row>
    <x:row r="439">
      <x:c r="A439" s="50"/>
      <x:c r="B439" s="64"/>
      <x:c r="C439" s="50"/>
      <x:c r="D439" s="50"/>
      <x:c r="E439" s="50" t="str">
        <x:f>IFERROR(VLOOKUP(D439,Inventory!$B:$D,2,FALSE),"")</x:f>
      </x:c>
      <x:c r="F439" s="50" t="str">
        <x:f>IFERROR(VLOOKUP(D439,Inventory!$B:$D,3,FALSE),"")</x:f>
      </x:c>
      <x:c r="G439" s="65" t="n">
        <x:v>0</x:v>
      </x:c>
      <x:c r="H439" s="66" t="n">
        <x:v>0</x:v>
      </x:c>
      <x:c r="I439" s="66" t="n">
        <x:f>G439*H439</x:f>
        <x:v>0</x:v>
      </x:c>
      <x:c r="J439" s="66" t="str">
        <x:f>IFERROR(VLOOKUP(D439,Inventory!$B:$F,4,FALSE),0)</x:f>
      </x:c>
      <x:c r="K439" s="66" t="n">
        <x:f>H439-J439</x:f>
        <x:v>0</x:v>
      </x:c>
      <x:c r="L439" s="66" t="n">
        <x:f>K439*G439</x:f>
        <x:v>0</x:v>
      </x:c>
      <x:c r="M439" s="50"/>
      <x:c r="N439" s="66"/>
      <x:c r="O439" s="50"/>
    </x:row>
    <x:row r="440">
      <x:c r="A440" s="50"/>
      <x:c r="B440" s="64"/>
      <x:c r="C440" s="50"/>
      <x:c r="D440" s="50"/>
      <x:c r="E440" s="50" t="str">
        <x:f>IFERROR(VLOOKUP(D440,Inventory!$B:$D,2,FALSE),"")</x:f>
      </x:c>
      <x:c r="F440" s="50" t="str">
        <x:f>IFERROR(VLOOKUP(D440,Inventory!$B:$D,3,FALSE),"")</x:f>
      </x:c>
      <x:c r="G440" s="65" t="n">
        <x:v>0</x:v>
      </x:c>
      <x:c r="H440" s="66" t="n">
        <x:v>0</x:v>
      </x:c>
      <x:c r="I440" s="66" t="n">
        <x:f>G440*H440</x:f>
        <x:v>0</x:v>
      </x:c>
      <x:c r="J440" s="66" t="str">
        <x:f>IFERROR(VLOOKUP(D440,Inventory!$B:$F,4,FALSE),0)</x:f>
      </x:c>
      <x:c r="K440" s="66" t="n">
        <x:f>H440-J440</x:f>
        <x:v>0</x:v>
      </x:c>
      <x:c r="L440" s="66" t="n">
        <x:f>K440*G440</x:f>
        <x:v>0</x:v>
      </x:c>
      <x:c r="M440" s="50"/>
      <x:c r="N440" s="66"/>
      <x:c r="O440" s="50"/>
    </x:row>
    <x:row r="441">
      <x:c r="A441" s="50"/>
      <x:c r="B441" s="64"/>
      <x:c r="C441" s="50"/>
      <x:c r="D441" s="50"/>
      <x:c r="E441" s="50" t="str">
        <x:f>IFERROR(VLOOKUP(D441,Inventory!$B:$D,2,FALSE),"")</x:f>
      </x:c>
      <x:c r="F441" s="50" t="str">
        <x:f>IFERROR(VLOOKUP(D441,Inventory!$B:$D,3,FALSE),"")</x:f>
      </x:c>
      <x:c r="G441" s="65" t="n">
        <x:v>0</x:v>
      </x:c>
      <x:c r="H441" s="66" t="n">
        <x:v>0</x:v>
      </x:c>
      <x:c r="I441" s="66" t="n">
        <x:f>G441*H441</x:f>
        <x:v>0</x:v>
      </x:c>
      <x:c r="J441" s="66" t="str">
        <x:f>IFERROR(VLOOKUP(D441,Inventory!$B:$F,4,FALSE),0)</x:f>
      </x:c>
      <x:c r="K441" s="66" t="n">
        <x:f>H441-J441</x:f>
        <x:v>0</x:v>
      </x:c>
      <x:c r="L441" s="66" t="n">
        <x:f>K441*G441</x:f>
        <x:v>0</x:v>
      </x:c>
      <x:c r="M441" s="50"/>
      <x:c r="N441" s="66"/>
      <x:c r="O441" s="50"/>
    </x:row>
    <x:row r="442">
      <x:c r="A442" s="50"/>
      <x:c r="B442" s="64"/>
      <x:c r="C442" s="50"/>
      <x:c r="D442" s="50"/>
      <x:c r="E442" s="50" t="str">
        <x:f>IFERROR(VLOOKUP(D442,Inventory!$B:$D,2,FALSE),"")</x:f>
      </x:c>
      <x:c r="F442" s="50" t="str">
        <x:f>IFERROR(VLOOKUP(D442,Inventory!$B:$D,3,FALSE),"")</x:f>
      </x:c>
      <x:c r="G442" s="65" t="n">
        <x:v>0</x:v>
      </x:c>
      <x:c r="H442" s="66" t="n">
        <x:v>0</x:v>
      </x:c>
      <x:c r="I442" s="66" t="n">
        <x:f>G442*H442</x:f>
        <x:v>0</x:v>
      </x:c>
      <x:c r="J442" s="66" t="str">
        <x:f>IFERROR(VLOOKUP(D442,Inventory!$B:$F,4,FALSE),0)</x:f>
      </x:c>
      <x:c r="K442" s="66" t="n">
        <x:f>H442-J442</x:f>
        <x:v>0</x:v>
      </x:c>
      <x:c r="L442" s="66" t="n">
        <x:f>K442*G442</x:f>
        <x:v>0</x:v>
      </x:c>
      <x:c r="M442" s="50"/>
      <x:c r="N442" s="66"/>
      <x:c r="O442" s="50"/>
    </x:row>
    <x:row r="443">
      <x:c r="A443" s="50"/>
      <x:c r="B443" s="64"/>
      <x:c r="C443" s="50"/>
      <x:c r="D443" s="50"/>
      <x:c r="E443" s="50" t="str">
        <x:f>IFERROR(VLOOKUP(D443,Inventory!$B:$D,2,FALSE),"")</x:f>
      </x:c>
      <x:c r="F443" s="50" t="str">
        <x:f>IFERROR(VLOOKUP(D443,Inventory!$B:$D,3,FALSE),"")</x:f>
      </x:c>
      <x:c r="G443" s="65" t="n">
        <x:v>0</x:v>
      </x:c>
      <x:c r="H443" s="66" t="n">
        <x:v>0</x:v>
      </x:c>
      <x:c r="I443" s="66" t="n">
        <x:f>G443*H443</x:f>
        <x:v>0</x:v>
      </x:c>
      <x:c r="J443" s="66" t="str">
        <x:f>IFERROR(VLOOKUP(D443,Inventory!$B:$F,4,FALSE),0)</x:f>
      </x:c>
      <x:c r="K443" s="66" t="n">
        <x:f>H443-J443</x:f>
        <x:v>0</x:v>
      </x:c>
      <x:c r="L443" s="66" t="n">
        <x:f>K443*G443</x:f>
        <x:v>0</x:v>
      </x:c>
      <x:c r="M443" s="50"/>
      <x:c r="N443" s="66"/>
      <x:c r="O443" s="50"/>
    </x:row>
    <x:row r="444">
      <x:c r="A444" s="50"/>
      <x:c r="B444" s="64"/>
      <x:c r="C444" s="50"/>
      <x:c r="D444" s="50"/>
      <x:c r="E444" s="50" t="str">
        <x:f>IFERROR(VLOOKUP(D444,Inventory!$B:$D,2,FALSE),"")</x:f>
      </x:c>
      <x:c r="F444" s="50" t="str">
        <x:f>IFERROR(VLOOKUP(D444,Inventory!$B:$D,3,FALSE),"")</x:f>
      </x:c>
      <x:c r="G444" s="65" t="n">
        <x:v>0</x:v>
      </x:c>
      <x:c r="H444" s="66" t="n">
        <x:v>0</x:v>
      </x:c>
      <x:c r="I444" s="66" t="n">
        <x:f>G444*H444</x:f>
        <x:v>0</x:v>
      </x:c>
      <x:c r="J444" s="66" t="str">
        <x:f>IFERROR(VLOOKUP(D444,Inventory!$B:$F,4,FALSE),0)</x:f>
      </x:c>
      <x:c r="K444" s="66" t="n">
        <x:f>H444-J444</x:f>
        <x:v>0</x:v>
      </x:c>
      <x:c r="L444" s="66" t="n">
        <x:f>K444*G444</x:f>
        <x:v>0</x:v>
      </x:c>
      <x:c r="M444" s="50"/>
      <x:c r="N444" s="66"/>
      <x:c r="O444" s="50"/>
    </x:row>
    <x:row r="445">
      <x:c r="A445" s="50"/>
      <x:c r="B445" s="64"/>
      <x:c r="C445" s="50"/>
      <x:c r="D445" s="50"/>
      <x:c r="E445" s="50" t="str">
        <x:f>IFERROR(VLOOKUP(D445,Inventory!$B:$D,2,FALSE),"")</x:f>
      </x:c>
      <x:c r="F445" s="50" t="str">
        <x:f>IFERROR(VLOOKUP(D445,Inventory!$B:$D,3,FALSE),"")</x:f>
      </x:c>
      <x:c r="G445" s="65" t="n">
        <x:v>0</x:v>
      </x:c>
      <x:c r="H445" s="66" t="n">
        <x:v>0</x:v>
      </x:c>
      <x:c r="I445" s="66" t="n">
        <x:f>G445*H445</x:f>
        <x:v>0</x:v>
      </x:c>
      <x:c r="J445" s="66" t="str">
        <x:f>IFERROR(VLOOKUP(D445,Inventory!$B:$F,4,FALSE),0)</x:f>
      </x:c>
      <x:c r="K445" s="66" t="n">
        <x:f>H445-J445</x:f>
        <x:v>0</x:v>
      </x:c>
      <x:c r="L445" s="66" t="n">
        <x:f>K445*G445</x:f>
        <x:v>0</x:v>
      </x:c>
      <x:c r="M445" s="50"/>
      <x:c r="N445" s="66"/>
      <x:c r="O445" s="50"/>
    </x:row>
    <x:row r="446">
      <x:c r="A446" s="50"/>
      <x:c r="B446" s="64"/>
      <x:c r="C446" s="50"/>
      <x:c r="D446" s="50"/>
      <x:c r="E446" s="50" t="str">
        <x:f>IFERROR(VLOOKUP(D446,Inventory!$B:$D,2,FALSE),"")</x:f>
      </x:c>
      <x:c r="F446" s="50" t="str">
        <x:f>IFERROR(VLOOKUP(D446,Inventory!$B:$D,3,FALSE),"")</x:f>
      </x:c>
      <x:c r="G446" s="65" t="n">
        <x:v>0</x:v>
      </x:c>
      <x:c r="H446" s="66" t="n">
        <x:v>0</x:v>
      </x:c>
      <x:c r="I446" s="66" t="n">
        <x:f>G446*H446</x:f>
        <x:v>0</x:v>
      </x:c>
      <x:c r="J446" s="66" t="str">
        <x:f>IFERROR(VLOOKUP(D446,Inventory!$B:$F,4,FALSE),0)</x:f>
      </x:c>
      <x:c r="K446" s="66" t="n">
        <x:f>H446-J446</x:f>
        <x:v>0</x:v>
      </x:c>
      <x:c r="L446" s="66" t="n">
        <x:f>K446*G446</x:f>
        <x:v>0</x:v>
      </x:c>
      <x:c r="M446" s="50"/>
      <x:c r="N446" s="66"/>
      <x:c r="O446" s="50"/>
    </x:row>
    <x:row r="447">
      <x:c r="A447" s="50"/>
      <x:c r="B447" s="64"/>
      <x:c r="C447" s="50"/>
      <x:c r="D447" s="50"/>
      <x:c r="E447" s="50" t="str">
        <x:f>IFERROR(VLOOKUP(D447,Inventory!$B:$D,2,FALSE),"")</x:f>
      </x:c>
      <x:c r="F447" s="50" t="str">
        <x:f>IFERROR(VLOOKUP(D447,Inventory!$B:$D,3,FALSE),"")</x:f>
      </x:c>
      <x:c r="G447" s="65" t="n">
        <x:v>0</x:v>
      </x:c>
      <x:c r="H447" s="66" t="n">
        <x:v>0</x:v>
      </x:c>
      <x:c r="I447" s="66" t="n">
        <x:f>G447*H447</x:f>
        <x:v>0</x:v>
      </x:c>
      <x:c r="J447" s="66" t="str">
        <x:f>IFERROR(VLOOKUP(D447,Inventory!$B:$F,4,FALSE),0)</x:f>
      </x:c>
      <x:c r="K447" s="66" t="n">
        <x:f>H447-J447</x:f>
        <x:v>0</x:v>
      </x:c>
      <x:c r="L447" s="66" t="n">
        <x:f>K447*G447</x:f>
        <x:v>0</x:v>
      </x:c>
      <x:c r="M447" s="50"/>
      <x:c r="N447" s="66"/>
      <x:c r="O447" s="50"/>
    </x:row>
    <x:row r="448">
      <x:c r="A448" s="50"/>
      <x:c r="B448" s="64"/>
      <x:c r="C448" s="50"/>
      <x:c r="D448" s="50"/>
      <x:c r="E448" s="50" t="str">
        <x:f>IFERROR(VLOOKUP(D448,Inventory!$B:$D,2,FALSE),"")</x:f>
      </x:c>
      <x:c r="F448" s="50" t="str">
        <x:f>IFERROR(VLOOKUP(D448,Inventory!$B:$D,3,FALSE),"")</x:f>
      </x:c>
      <x:c r="G448" s="65" t="n">
        <x:v>0</x:v>
      </x:c>
      <x:c r="H448" s="66" t="n">
        <x:v>0</x:v>
      </x:c>
      <x:c r="I448" s="66" t="n">
        <x:f>G448*H448</x:f>
        <x:v>0</x:v>
      </x:c>
      <x:c r="J448" s="66" t="str">
        <x:f>IFERROR(VLOOKUP(D448,Inventory!$B:$F,4,FALSE),0)</x:f>
      </x:c>
      <x:c r="K448" s="66" t="n">
        <x:f>H448-J448</x:f>
        <x:v>0</x:v>
      </x:c>
      <x:c r="L448" s="66" t="n">
        <x:f>K448*G448</x:f>
        <x:v>0</x:v>
      </x:c>
      <x:c r="M448" s="50"/>
      <x:c r="N448" s="66"/>
      <x:c r="O448" s="50"/>
    </x:row>
    <x:row r="449">
      <x:c r="A449" s="50"/>
      <x:c r="B449" s="64"/>
      <x:c r="C449" s="50"/>
      <x:c r="D449" s="50"/>
      <x:c r="E449" s="50" t="str">
        <x:f>IFERROR(VLOOKUP(D449,Inventory!$B:$D,2,FALSE),"")</x:f>
      </x:c>
      <x:c r="F449" s="50" t="str">
        <x:f>IFERROR(VLOOKUP(D449,Inventory!$B:$D,3,FALSE),"")</x:f>
      </x:c>
      <x:c r="G449" s="65" t="n">
        <x:v>0</x:v>
      </x:c>
      <x:c r="H449" s="66" t="n">
        <x:v>0</x:v>
      </x:c>
      <x:c r="I449" s="66" t="n">
        <x:f>G449*H449</x:f>
        <x:v>0</x:v>
      </x:c>
      <x:c r="J449" s="66" t="str">
        <x:f>IFERROR(VLOOKUP(D449,Inventory!$B:$F,4,FALSE),0)</x:f>
      </x:c>
      <x:c r="K449" s="66" t="n">
        <x:f>H449-J449</x:f>
        <x:v>0</x:v>
      </x:c>
      <x:c r="L449" s="66" t="n">
        <x:f>K449*G449</x:f>
        <x:v>0</x:v>
      </x:c>
      <x:c r="M449" s="50"/>
      <x:c r="N449" s="66"/>
      <x:c r="O449" s="50"/>
    </x:row>
    <x:row r="450">
      <x:c r="A450" s="50"/>
      <x:c r="B450" s="64"/>
      <x:c r="C450" s="50"/>
      <x:c r="D450" s="50"/>
      <x:c r="E450" s="50" t="str">
        <x:f>IFERROR(VLOOKUP(D450,Inventory!$B:$D,2,FALSE),"")</x:f>
      </x:c>
      <x:c r="F450" s="50" t="str">
        <x:f>IFERROR(VLOOKUP(D450,Inventory!$B:$D,3,FALSE),"")</x:f>
      </x:c>
      <x:c r="G450" s="65" t="n">
        <x:v>0</x:v>
      </x:c>
      <x:c r="H450" s="66" t="n">
        <x:v>0</x:v>
      </x:c>
      <x:c r="I450" s="66" t="n">
        <x:f>G450*H450</x:f>
        <x:v>0</x:v>
      </x:c>
      <x:c r="J450" s="66" t="str">
        <x:f>IFERROR(VLOOKUP(D450,Inventory!$B:$F,4,FALSE),0)</x:f>
      </x:c>
      <x:c r="K450" s="66" t="n">
        <x:f>H450-J450</x:f>
        <x:v>0</x:v>
      </x:c>
      <x:c r="L450" s="66" t="n">
        <x:f>K450*G450</x:f>
        <x:v>0</x:v>
      </x:c>
      <x:c r="M450" s="50"/>
      <x:c r="N450" s="66"/>
      <x:c r="O450" s="50"/>
    </x:row>
    <x:row r="451">
      <x:c r="A451" s="50"/>
      <x:c r="B451" s="64"/>
      <x:c r="C451" s="50"/>
      <x:c r="D451" s="50"/>
      <x:c r="E451" s="50" t="str">
        <x:f>IFERROR(VLOOKUP(D451,Inventory!$B:$D,2,FALSE),"")</x:f>
      </x:c>
      <x:c r="F451" s="50" t="str">
        <x:f>IFERROR(VLOOKUP(D451,Inventory!$B:$D,3,FALSE),"")</x:f>
      </x:c>
      <x:c r="G451" s="65" t="n">
        <x:v>0</x:v>
      </x:c>
      <x:c r="H451" s="66" t="n">
        <x:v>0</x:v>
      </x:c>
      <x:c r="I451" s="66" t="n">
        <x:f>G451*H451</x:f>
        <x:v>0</x:v>
      </x:c>
      <x:c r="J451" s="66" t="str">
        <x:f>IFERROR(VLOOKUP(D451,Inventory!$B:$F,4,FALSE),0)</x:f>
      </x:c>
      <x:c r="K451" s="66" t="n">
        <x:f>H451-J451</x:f>
        <x:v>0</x:v>
      </x:c>
      <x:c r="L451" s="66" t="n">
        <x:f>K451*G451</x:f>
        <x:v>0</x:v>
      </x:c>
      <x:c r="M451" s="50"/>
      <x:c r="N451" s="66"/>
      <x:c r="O451" s="50"/>
    </x:row>
    <x:row r="452">
      <x:c r="A452" s="50"/>
      <x:c r="B452" s="64"/>
      <x:c r="C452" s="50"/>
      <x:c r="D452" s="50"/>
      <x:c r="E452" s="50" t="str">
        <x:f>IFERROR(VLOOKUP(D452,Inventory!$B:$D,2,FALSE),"")</x:f>
      </x:c>
      <x:c r="F452" s="50" t="str">
        <x:f>IFERROR(VLOOKUP(D452,Inventory!$B:$D,3,FALSE),"")</x:f>
      </x:c>
      <x:c r="G452" s="65" t="n">
        <x:v>0</x:v>
      </x:c>
      <x:c r="H452" s="66" t="n">
        <x:v>0</x:v>
      </x:c>
      <x:c r="I452" s="66" t="n">
        <x:f>G452*H452</x:f>
        <x:v>0</x:v>
      </x:c>
      <x:c r="J452" s="66" t="str">
        <x:f>IFERROR(VLOOKUP(D452,Inventory!$B:$F,4,FALSE),0)</x:f>
      </x:c>
      <x:c r="K452" s="66" t="n">
        <x:f>H452-J452</x:f>
        <x:v>0</x:v>
      </x:c>
      <x:c r="L452" s="66" t="n">
        <x:f>K452*G452</x:f>
        <x:v>0</x:v>
      </x:c>
      <x:c r="M452" s="50"/>
      <x:c r="N452" s="66"/>
      <x:c r="O452" s="50"/>
    </x:row>
    <x:row r="453">
      <x:c r="A453" s="50"/>
      <x:c r="B453" s="64"/>
      <x:c r="C453" s="50"/>
      <x:c r="D453" s="50"/>
      <x:c r="E453" s="50" t="str">
        <x:f>IFERROR(VLOOKUP(D453,Inventory!$B:$D,2,FALSE),"")</x:f>
      </x:c>
      <x:c r="F453" s="50" t="str">
        <x:f>IFERROR(VLOOKUP(D453,Inventory!$B:$D,3,FALSE),"")</x:f>
      </x:c>
      <x:c r="G453" s="65" t="n">
        <x:v>0</x:v>
      </x:c>
      <x:c r="H453" s="66" t="n">
        <x:v>0</x:v>
      </x:c>
      <x:c r="I453" s="66" t="n">
        <x:f>G453*H453</x:f>
        <x:v>0</x:v>
      </x:c>
      <x:c r="J453" s="66" t="str">
        <x:f>IFERROR(VLOOKUP(D453,Inventory!$B:$F,4,FALSE),0)</x:f>
      </x:c>
      <x:c r="K453" s="66" t="n">
        <x:f>H453-J453</x:f>
        <x:v>0</x:v>
      </x:c>
      <x:c r="L453" s="66" t="n">
        <x:f>K453*G453</x:f>
        <x:v>0</x:v>
      </x:c>
      <x:c r="M453" s="50"/>
      <x:c r="N453" s="66"/>
      <x:c r="O453" s="50"/>
    </x:row>
    <x:row r="454">
      <x:c r="A454" s="50"/>
      <x:c r="B454" s="64"/>
      <x:c r="C454" s="50"/>
      <x:c r="D454" s="50"/>
      <x:c r="E454" s="50" t="str">
        <x:f>IFERROR(VLOOKUP(D454,Inventory!$B:$D,2,FALSE),"")</x:f>
      </x:c>
      <x:c r="F454" s="50" t="str">
        <x:f>IFERROR(VLOOKUP(D454,Inventory!$B:$D,3,FALSE),"")</x:f>
      </x:c>
      <x:c r="G454" s="65" t="n">
        <x:v>0</x:v>
      </x:c>
      <x:c r="H454" s="66" t="n">
        <x:v>0</x:v>
      </x:c>
      <x:c r="I454" s="66" t="n">
        <x:f>G454*H454</x:f>
        <x:v>0</x:v>
      </x:c>
      <x:c r="J454" s="66" t="str">
        <x:f>IFERROR(VLOOKUP(D454,Inventory!$B:$F,4,FALSE),0)</x:f>
      </x:c>
      <x:c r="K454" s="66" t="n">
        <x:f>H454-J454</x:f>
        <x:v>0</x:v>
      </x:c>
      <x:c r="L454" s="66" t="n">
        <x:f>K454*G454</x:f>
        <x:v>0</x:v>
      </x:c>
      <x:c r="M454" s="50"/>
      <x:c r="N454" s="66"/>
      <x:c r="O454" s="50"/>
    </x:row>
    <x:row r="455">
      <x:c r="A455" s="50"/>
      <x:c r="B455" s="64"/>
      <x:c r="C455" s="50"/>
      <x:c r="D455" s="50"/>
      <x:c r="E455" s="50" t="str">
        <x:f>IFERROR(VLOOKUP(D455,Inventory!$B:$D,2,FALSE),"")</x:f>
      </x:c>
      <x:c r="F455" s="50" t="str">
        <x:f>IFERROR(VLOOKUP(D455,Inventory!$B:$D,3,FALSE),"")</x:f>
      </x:c>
      <x:c r="G455" s="65" t="n">
        <x:v>0</x:v>
      </x:c>
      <x:c r="H455" s="66" t="n">
        <x:v>0</x:v>
      </x:c>
      <x:c r="I455" s="66" t="n">
        <x:f>G455*H455</x:f>
        <x:v>0</x:v>
      </x:c>
      <x:c r="J455" s="66" t="str">
        <x:f>IFERROR(VLOOKUP(D455,Inventory!$B:$F,4,FALSE),0)</x:f>
      </x:c>
      <x:c r="K455" s="66" t="n">
        <x:f>H455-J455</x:f>
        <x:v>0</x:v>
      </x:c>
      <x:c r="L455" s="66" t="n">
        <x:f>K455*G455</x:f>
        <x:v>0</x:v>
      </x:c>
      <x:c r="M455" s="50"/>
      <x:c r="N455" s="66"/>
      <x:c r="O455" s="50"/>
    </x:row>
    <x:row r="456">
      <x:c r="A456" s="50"/>
      <x:c r="B456" s="64"/>
      <x:c r="C456" s="50"/>
      <x:c r="D456" s="50"/>
      <x:c r="E456" s="50" t="str">
        <x:f>IFERROR(VLOOKUP(D456,Inventory!$B:$D,2,FALSE),"")</x:f>
      </x:c>
      <x:c r="F456" s="50" t="str">
        <x:f>IFERROR(VLOOKUP(D456,Inventory!$B:$D,3,FALSE),"")</x:f>
      </x:c>
      <x:c r="G456" s="65" t="n">
        <x:v>0</x:v>
      </x:c>
      <x:c r="H456" s="66" t="n">
        <x:v>0</x:v>
      </x:c>
      <x:c r="I456" s="66" t="n">
        <x:f>G456*H456</x:f>
        <x:v>0</x:v>
      </x:c>
      <x:c r="J456" s="66" t="str">
        <x:f>IFERROR(VLOOKUP(D456,Inventory!$B:$F,4,FALSE),0)</x:f>
      </x:c>
      <x:c r="K456" s="66" t="n">
        <x:f>H456-J456</x:f>
        <x:v>0</x:v>
      </x:c>
      <x:c r="L456" s="66" t="n">
        <x:f>K456*G456</x:f>
        <x:v>0</x:v>
      </x:c>
      <x:c r="M456" s="50"/>
      <x:c r="N456" s="66"/>
      <x:c r="O456" s="50"/>
    </x:row>
    <x:row r="457">
      <x:c r="A457" s="50"/>
      <x:c r="B457" s="64"/>
      <x:c r="C457" s="50"/>
      <x:c r="D457" s="50"/>
      <x:c r="E457" s="50" t="str">
        <x:f>IFERROR(VLOOKUP(D457,Inventory!$B:$D,2,FALSE),"")</x:f>
      </x:c>
      <x:c r="F457" s="50" t="str">
        <x:f>IFERROR(VLOOKUP(D457,Inventory!$B:$D,3,FALSE),"")</x:f>
      </x:c>
      <x:c r="G457" s="65" t="n">
        <x:v>0</x:v>
      </x:c>
      <x:c r="H457" s="66" t="n">
        <x:v>0</x:v>
      </x:c>
      <x:c r="I457" s="66" t="n">
        <x:f>G457*H457</x:f>
        <x:v>0</x:v>
      </x:c>
      <x:c r="J457" s="66" t="str">
        <x:f>IFERROR(VLOOKUP(D457,Inventory!$B:$F,4,FALSE),0)</x:f>
      </x:c>
      <x:c r="K457" s="66" t="n">
        <x:f>H457-J457</x:f>
        <x:v>0</x:v>
      </x:c>
      <x:c r="L457" s="66" t="n">
        <x:f>K457*G457</x:f>
        <x:v>0</x:v>
      </x:c>
      <x:c r="M457" s="50"/>
      <x:c r="N457" s="66"/>
      <x:c r="O457" s="50"/>
    </x:row>
    <x:row r="458">
      <x:c r="A458" s="50"/>
      <x:c r="B458" s="64"/>
      <x:c r="C458" s="50"/>
      <x:c r="D458" s="50"/>
      <x:c r="E458" s="50" t="str">
        <x:f>IFERROR(VLOOKUP(D458,Inventory!$B:$D,2,FALSE),"")</x:f>
      </x:c>
      <x:c r="F458" s="50" t="str">
        <x:f>IFERROR(VLOOKUP(D458,Inventory!$B:$D,3,FALSE),"")</x:f>
      </x:c>
      <x:c r="G458" s="65" t="n">
        <x:v>0</x:v>
      </x:c>
      <x:c r="H458" s="66" t="n">
        <x:v>0</x:v>
      </x:c>
      <x:c r="I458" s="66" t="n">
        <x:f>G458*H458</x:f>
        <x:v>0</x:v>
      </x:c>
      <x:c r="J458" s="66" t="str">
        <x:f>IFERROR(VLOOKUP(D458,Inventory!$B:$F,4,FALSE),0)</x:f>
      </x:c>
      <x:c r="K458" s="66" t="n">
        <x:f>H458-J458</x:f>
        <x:v>0</x:v>
      </x:c>
      <x:c r="L458" s="66" t="n">
        <x:f>K458*G458</x:f>
        <x:v>0</x:v>
      </x:c>
      <x:c r="M458" s="50"/>
      <x:c r="N458" s="66"/>
      <x:c r="O458" s="50"/>
    </x:row>
    <x:row r="459">
      <x:c r="A459" s="50"/>
      <x:c r="B459" s="64"/>
      <x:c r="C459" s="50"/>
      <x:c r="D459" s="50"/>
      <x:c r="E459" s="50" t="str">
        <x:f>IFERROR(VLOOKUP(D459,Inventory!$B:$D,2,FALSE),"")</x:f>
      </x:c>
      <x:c r="F459" s="50" t="str">
        <x:f>IFERROR(VLOOKUP(D459,Inventory!$B:$D,3,FALSE),"")</x:f>
      </x:c>
      <x:c r="G459" s="65" t="n">
        <x:v>0</x:v>
      </x:c>
      <x:c r="H459" s="66" t="n">
        <x:v>0</x:v>
      </x:c>
      <x:c r="I459" s="66" t="n">
        <x:f>G459*H459</x:f>
        <x:v>0</x:v>
      </x:c>
      <x:c r="J459" s="66" t="str">
        <x:f>IFERROR(VLOOKUP(D459,Inventory!$B:$F,4,FALSE),0)</x:f>
      </x:c>
      <x:c r="K459" s="66" t="n">
        <x:f>H459-J459</x:f>
        <x:v>0</x:v>
      </x:c>
      <x:c r="L459" s="66" t="n">
        <x:f>K459*G459</x:f>
        <x:v>0</x:v>
      </x:c>
      <x:c r="M459" s="50"/>
      <x:c r="N459" s="66"/>
      <x:c r="O459" s="50"/>
    </x:row>
    <x:row r="460">
      <x:c r="A460" s="50"/>
      <x:c r="B460" s="64"/>
      <x:c r="C460" s="50"/>
      <x:c r="D460" s="50"/>
      <x:c r="E460" s="50" t="str">
        <x:f>IFERROR(VLOOKUP(D460,Inventory!$B:$D,2,FALSE),"")</x:f>
      </x:c>
      <x:c r="F460" s="50" t="str">
        <x:f>IFERROR(VLOOKUP(D460,Inventory!$B:$D,3,FALSE),"")</x:f>
      </x:c>
      <x:c r="G460" s="65" t="n">
        <x:v>0</x:v>
      </x:c>
      <x:c r="H460" s="66" t="n">
        <x:v>0</x:v>
      </x:c>
      <x:c r="I460" s="66" t="n">
        <x:f>G460*H460</x:f>
        <x:v>0</x:v>
      </x:c>
      <x:c r="J460" s="66" t="str">
        <x:f>IFERROR(VLOOKUP(D460,Inventory!$B:$F,4,FALSE),0)</x:f>
      </x:c>
      <x:c r="K460" s="66" t="n">
        <x:f>H460-J460</x:f>
        <x:v>0</x:v>
      </x:c>
      <x:c r="L460" s="66" t="n">
        <x:f>K460*G460</x:f>
        <x:v>0</x:v>
      </x:c>
      <x:c r="M460" s="50"/>
      <x:c r="N460" s="66"/>
      <x:c r="O460" s="50"/>
    </x:row>
    <x:row r="461">
      <x:c r="A461" s="50"/>
      <x:c r="B461" s="64"/>
      <x:c r="C461" s="50"/>
      <x:c r="D461" s="50"/>
      <x:c r="E461" s="50" t="str">
        <x:f>IFERROR(VLOOKUP(D461,Inventory!$B:$D,2,FALSE),"")</x:f>
      </x:c>
      <x:c r="F461" s="50" t="str">
        <x:f>IFERROR(VLOOKUP(D461,Inventory!$B:$D,3,FALSE),"")</x:f>
      </x:c>
      <x:c r="G461" s="65" t="n">
        <x:v>0</x:v>
      </x:c>
      <x:c r="H461" s="66" t="n">
        <x:v>0</x:v>
      </x:c>
      <x:c r="I461" s="66" t="n">
        <x:f>G461*H461</x:f>
        <x:v>0</x:v>
      </x:c>
      <x:c r="J461" s="66" t="str">
        <x:f>IFERROR(VLOOKUP(D461,Inventory!$B:$F,4,FALSE),0)</x:f>
      </x:c>
      <x:c r="K461" s="66" t="n">
        <x:f>H461-J461</x:f>
        <x:v>0</x:v>
      </x:c>
      <x:c r="L461" s="66" t="n">
        <x:f>K461*G461</x:f>
        <x:v>0</x:v>
      </x:c>
      <x:c r="M461" s="50"/>
      <x:c r="N461" s="66"/>
      <x:c r="O461" s="50"/>
    </x:row>
    <x:row r="462">
      <x:c r="A462" s="50"/>
      <x:c r="B462" s="64"/>
      <x:c r="C462" s="50"/>
      <x:c r="D462" s="50"/>
      <x:c r="E462" s="50" t="str">
        <x:f>IFERROR(VLOOKUP(D462,Inventory!$B:$D,2,FALSE),"")</x:f>
      </x:c>
      <x:c r="F462" s="50" t="str">
        <x:f>IFERROR(VLOOKUP(D462,Inventory!$B:$D,3,FALSE),"")</x:f>
      </x:c>
      <x:c r="G462" s="65" t="n">
        <x:v>0</x:v>
      </x:c>
      <x:c r="H462" s="66" t="n">
        <x:v>0</x:v>
      </x:c>
      <x:c r="I462" s="66" t="n">
        <x:f>G462*H462</x:f>
        <x:v>0</x:v>
      </x:c>
      <x:c r="J462" s="66" t="str">
        <x:f>IFERROR(VLOOKUP(D462,Inventory!$B:$F,4,FALSE),0)</x:f>
      </x:c>
      <x:c r="K462" s="66" t="n">
        <x:f>H462-J462</x:f>
        <x:v>0</x:v>
      </x:c>
      <x:c r="L462" s="66" t="n">
        <x:f>K462*G462</x:f>
        <x:v>0</x:v>
      </x:c>
      <x:c r="M462" s="50"/>
      <x:c r="N462" s="66"/>
      <x:c r="O462" s="50"/>
    </x:row>
    <x:row r="463">
      <x:c r="A463" s="50"/>
      <x:c r="B463" s="64"/>
      <x:c r="C463" s="50"/>
      <x:c r="D463" s="50"/>
      <x:c r="E463" s="50" t="str">
        <x:f>IFERROR(VLOOKUP(D463,Inventory!$B:$D,2,FALSE),"")</x:f>
      </x:c>
      <x:c r="F463" s="50" t="str">
        <x:f>IFERROR(VLOOKUP(D463,Inventory!$B:$D,3,FALSE),"")</x:f>
      </x:c>
      <x:c r="G463" s="65" t="n">
        <x:v>0</x:v>
      </x:c>
      <x:c r="H463" s="66" t="n">
        <x:v>0</x:v>
      </x:c>
      <x:c r="I463" s="66" t="n">
        <x:f>G463*H463</x:f>
        <x:v>0</x:v>
      </x:c>
      <x:c r="J463" s="66" t="str">
        <x:f>IFERROR(VLOOKUP(D463,Inventory!$B:$F,4,FALSE),0)</x:f>
      </x:c>
      <x:c r="K463" s="66" t="n">
        <x:f>H463-J463</x:f>
        <x:v>0</x:v>
      </x:c>
      <x:c r="L463" s="66" t="n">
        <x:f>K463*G463</x:f>
        <x:v>0</x:v>
      </x:c>
      <x:c r="M463" s="50"/>
      <x:c r="N463" s="66"/>
      <x:c r="O463" s="50"/>
    </x:row>
    <x:row r="464">
      <x:c r="A464" s="50"/>
      <x:c r="B464" s="64"/>
      <x:c r="C464" s="50"/>
      <x:c r="D464" s="50"/>
      <x:c r="E464" s="50" t="str">
        <x:f>IFERROR(VLOOKUP(D464,Inventory!$B:$D,2,FALSE),"")</x:f>
      </x:c>
      <x:c r="F464" s="50" t="str">
        <x:f>IFERROR(VLOOKUP(D464,Inventory!$B:$D,3,FALSE),"")</x:f>
      </x:c>
      <x:c r="G464" s="65" t="n">
        <x:v>0</x:v>
      </x:c>
      <x:c r="H464" s="66" t="n">
        <x:v>0</x:v>
      </x:c>
      <x:c r="I464" s="66" t="n">
        <x:f>G464*H464</x:f>
        <x:v>0</x:v>
      </x:c>
      <x:c r="J464" s="66" t="str">
        <x:f>IFERROR(VLOOKUP(D464,Inventory!$B:$F,4,FALSE),0)</x:f>
      </x:c>
      <x:c r="K464" s="66" t="n">
        <x:f>H464-J464</x:f>
        <x:v>0</x:v>
      </x:c>
      <x:c r="L464" s="66" t="n">
        <x:f>K464*G464</x:f>
        <x:v>0</x:v>
      </x:c>
      <x:c r="M464" s="50"/>
      <x:c r="N464" s="66"/>
      <x:c r="O464" s="50"/>
    </x:row>
    <x:row r="465">
      <x:c r="A465" s="50"/>
      <x:c r="B465" s="64"/>
      <x:c r="C465" s="50"/>
      <x:c r="D465" s="50"/>
      <x:c r="E465" s="50" t="str">
        <x:f>IFERROR(VLOOKUP(D465,Inventory!$B:$D,2,FALSE),"")</x:f>
      </x:c>
      <x:c r="F465" s="50" t="str">
        <x:f>IFERROR(VLOOKUP(D465,Inventory!$B:$D,3,FALSE),"")</x:f>
      </x:c>
      <x:c r="G465" s="65" t="n">
        <x:v>0</x:v>
      </x:c>
      <x:c r="H465" s="66" t="n">
        <x:v>0</x:v>
      </x:c>
      <x:c r="I465" s="66" t="n">
        <x:f>G465*H465</x:f>
        <x:v>0</x:v>
      </x:c>
      <x:c r="J465" s="66" t="str">
        <x:f>IFERROR(VLOOKUP(D465,Inventory!$B:$F,4,FALSE),0)</x:f>
      </x:c>
      <x:c r="K465" s="66" t="n">
        <x:f>H465-J465</x:f>
        <x:v>0</x:v>
      </x:c>
      <x:c r="L465" s="66" t="n">
        <x:f>K465*G465</x:f>
        <x:v>0</x:v>
      </x:c>
      <x:c r="M465" s="50"/>
      <x:c r="N465" s="66"/>
      <x:c r="O465" s="50"/>
    </x:row>
    <x:row r="466">
      <x:c r="A466" s="50"/>
      <x:c r="B466" s="64"/>
      <x:c r="C466" s="50"/>
      <x:c r="D466" s="50"/>
      <x:c r="E466" s="50" t="str">
        <x:f>IFERROR(VLOOKUP(D466,Inventory!$B:$D,2,FALSE),"")</x:f>
      </x:c>
      <x:c r="F466" s="50" t="str">
        <x:f>IFERROR(VLOOKUP(D466,Inventory!$B:$D,3,FALSE),"")</x:f>
      </x:c>
      <x:c r="G466" s="65" t="n">
        <x:v>0</x:v>
      </x:c>
      <x:c r="H466" s="66" t="n">
        <x:v>0</x:v>
      </x:c>
      <x:c r="I466" s="66" t="n">
        <x:f>G466*H466</x:f>
        <x:v>0</x:v>
      </x:c>
      <x:c r="J466" s="66" t="str">
        <x:f>IFERROR(VLOOKUP(D466,Inventory!$B:$F,4,FALSE),0)</x:f>
      </x:c>
      <x:c r="K466" s="66" t="n">
        <x:f>H466-J466</x:f>
        <x:v>0</x:v>
      </x:c>
      <x:c r="L466" s="66" t="n">
        <x:f>K466*G466</x:f>
        <x:v>0</x:v>
      </x:c>
      <x:c r="M466" s="50"/>
      <x:c r="N466" s="66"/>
      <x:c r="O466" s="50"/>
    </x:row>
    <x:row r="467">
      <x:c r="A467" s="50"/>
      <x:c r="B467" s="64"/>
      <x:c r="C467" s="50"/>
      <x:c r="D467" s="50"/>
      <x:c r="E467" s="50" t="str">
        <x:f>IFERROR(VLOOKUP(D467,Inventory!$B:$D,2,FALSE),"")</x:f>
      </x:c>
      <x:c r="F467" s="50" t="str">
        <x:f>IFERROR(VLOOKUP(D467,Inventory!$B:$D,3,FALSE),"")</x:f>
      </x:c>
      <x:c r="G467" s="65" t="n">
        <x:v>0</x:v>
      </x:c>
      <x:c r="H467" s="66" t="n">
        <x:v>0</x:v>
      </x:c>
      <x:c r="I467" s="66" t="n">
        <x:f>G467*H467</x:f>
        <x:v>0</x:v>
      </x:c>
      <x:c r="J467" s="66" t="str">
        <x:f>IFERROR(VLOOKUP(D467,Inventory!$B:$F,4,FALSE),0)</x:f>
      </x:c>
      <x:c r="K467" s="66" t="n">
        <x:f>H467-J467</x:f>
        <x:v>0</x:v>
      </x:c>
      <x:c r="L467" s="66" t="n">
        <x:f>K467*G467</x:f>
        <x:v>0</x:v>
      </x:c>
      <x:c r="M467" s="50"/>
      <x:c r="N467" s="66"/>
      <x:c r="O467" s="50"/>
    </x:row>
    <x:row r="468">
      <x:c r="A468" s="50"/>
      <x:c r="B468" s="64"/>
      <x:c r="C468" s="50"/>
      <x:c r="D468" s="50"/>
      <x:c r="E468" s="50" t="str">
        <x:f>IFERROR(VLOOKUP(D468,Inventory!$B:$D,2,FALSE),"")</x:f>
      </x:c>
      <x:c r="F468" s="50" t="str">
        <x:f>IFERROR(VLOOKUP(D468,Inventory!$B:$D,3,FALSE),"")</x:f>
      </x:c>
      <x:c r="G468" s="65" t="n">
        <x:v>0</x:v>
      </x:c>
      <x:c r="H468" s="66" t="n">
        <x:v>0</x:v>
      </x:c>
      <x:c r="I468" s="66" t="n">
        <x:f>G468*H468</x:f>
        <x:v>0</x:v>
      </x:c>
      <x:c r="J468" s="66" t="str">
        <x:f>IFERROR(VLOOKUP(D468,Inventory!$B:$F,4,FALSE),0)</x:f>
      </x:c>
      <x:c r="K468" s="66" t="n">
        <x:f>H468-J468</x:f>
        <x:v>0</x:v>
      </x:c>
      <x:c r="L468" s="66" t="n">
        <x:f>K468*G468</x:f>
        <x:v>0</x:v>
      </x:c>
      <x:c r="M468" s="50"/>
      <x:c r="N468" s="66"/>
      <x:c r="O468" s="50"/>
    </x:row>
    <x:row r="469">
      <x:c r="A469" s="50"/>
      <x:c r="B469" s="64"/>
      <x:c r="C469" s="50"/>
      <x:c r="D469" s="50"/>
      <x:c r="E469" s="50" t="str">
        <x:f>IFERROR(VLOOKUP(D469,Inventory!$B:$D,2,FALSE),"")</x:f>
      </x:c>
      <x:c r="F469" s="50" t="str">
        <x:f>IFERROR(VLOOKUP(D469,Inventory!$B:$D,3,FALSE),"")</x:f>
      </x:c>
      <x:c r="G469" s="65" t="n">
        <x:v>0</x:v>
      </x:c>
      <x:c r="H469" s="66" t="n">
        <x:v>0</x:v>
      </x:c>
      <x:c r="I469" s="66" t="n">
        <x:f>G469*H469</x:f>
        <x:v>0</x:v>
      </x:c>
      <x:c r="J469" s="66" t="str">
        <x:f>IFERROR(VLOOKUP(D469,Inventory!$B:$F,4,FALSE),0)</x:f>
      </x:c>
      <x:c r="K469" s="66" t="n">
        <x:f>H469-J469</x:f>
        <x:v>0</x:v>
      </x:c>
      <x:c r="L469" s="66" t="n">
        <x:f>K469*G469</x:f>
        <x:v>0</x:v>
      </x:c>
      <x:c r="M469" s="50"/>
      <x:c r="N469" s="66"/>
      <x:c r="O469" s="50"/>
    </x:row>
    <x:row r="470">
      <x:c r="A470" s="50"/>
      <x:c r="B470" s="64"/>
      <x:c r="C470" s="50"/>
      <x:c r="D470" s="50"/>
      <x:c r="E470" s="50" t="str">
        <x:f>IFERROR(VLOOKUP(D470,Inventory!$B:$D,2,FALSE),"")</x:f>
      </x:c>
      <x:c r="F470" s="50" t="str">
        <x:f>IFERROR(VLOOKUP(D470,Inventory!$B:$D,3,FALSE),"")</x:f>
      </x:c>
      <x:c r="G470" s="65" t="n">
        <x:v>0</x:v>
      </x:c>
      <x:c r="H470" s="66" t="n">
        <x:v>0</x:v>
      </x:c>
      <x:c r="I470" s="66" t="n">
        <x:f>G470*H470</x:f>
        <x:v>0</x:v>
      </x:c>
      <x:c r="J470" s="66" t="str">
        <x:f>IFERROR(VLOOKUP(D470,Inventory!$B:$F,4,FALSE),0)</x:f>
      </x:c>
      <x:c r="K470" s="66" t="n">
        <x:f>H470-J470</x:f>
        <x:v>0</x:v>
      </x:c>
      <x:c r="L470" s="66" t="n">
        <x:f>K470*G470</x:f>
        <x:v>0</x:v>
      </x:c>
      <x:c r="M470" s="50"/>
      <x:c r="N470" s="66"/>
      <x:c r="O470" s="50"/>
    </x:row>
    <x:row r="471">
      <x:c r="A471" s="50"/>
      <x:c r="B471" s="64"/>
      <x:c r="C471" s="50"/>
      <x:c r="D471" s="50"/>
      <x:c r="E471" s="50" t="str">
        <x:f>IFERROR(VLOOKUP(D471,Inventory!$B:$D,2,FALSE),"")</x:f>
      </x:c>
      <x:c r="F471" s="50" t="str">
        <x:f>IFERROR(VLOOKUP(D471,Inventory!$B:$D,3,FALSE),"")</x:f>
      </x:c>
      <x:c r="G471" s="65" t="n">
        <x:v>0</x:v>
      </x:c>
      <x:c r="H471" s="66" t="n">
        <x:v>0</x:v>
      </x:c>
      <x:c r="I471" s="66" t="n">
        <x:f>G471*H471</x:f>
        <x:v>0</x:v>
      </x:c>
      <x:c r="J471" s="66" t="str">
        <x:f>IFERROR(VLOOKUP(D471,Inventory!$B:$F,4,FALSE),0)</x:f>
      </x:c>
      <x:c r="K471" s="66" t="n">
        <x:f>H471-J471</x:f>
        <x:v>0</x:v>
      </x:c>
      <x:c r="L471" s="66" t="n">
        <x:f>K471*G471</x:f>
        <x:v>0</x:v>
      </x:c>
      <x:c r="M471" s="50"/>
      <x:c r="N471" s="66"/>
      <x:c r="O471" s="50"/>
    </x:row>
    <x:row r="472">
      <x:c r="A472" s="50"/>
      <x:c r="B472" s="64"/>
      <x:c r="C472" s="50"/>
      <x:c r="D472" s="50"/>
      <x:c r="E472" s="50" t="str">
        <x:f>IFERROR(VLOOKUP(D472,Inventory!$B:$D,2,FALSE),"")</x:f>
      </x:c>
      <x:c r="F472" s="50" t="str">
        <x:f>IFERROR(VLOOKUP(D472,Inventory!$B:$D,3,FALSE),"")</x:f>
      </x:c>
      <x:c r="G472" s="65" t="n">
        <x:v>0</x:v>
      </x:c>
      <x:c r="H472" s="66" t="n">
        <x:v>0</x:v>
      </x:c>
      <x:c r="I472" s="66" t="n">
        <x:f>G472*H472</x:f>
        <x:v>0</x:v>
      </x:c>
      <x:c r="J472" s="66" t="str">
        <x:f>IFERROR(VLOOKUP(D472,Inventory!$B:$F,4,FALSE),0)</x:f>
      </x:c>
      <x:c r="K472" s="66" t="n">
        <x:f>H472-J472</x:f>
        <x:v>0</x:v>
      </x:c>
      <x:c r="L472" s="66" t="n">
        <x:f>K472*G472</x:f>
        <x:v>0</x:v>
      </x:c>
      <x:c r="M472" s="50"/>
      <x:c r="N472" s="66"/>
      <x:c r="O472" s="50"/>
    </x:row>
    <x:row r="473">
      <x:c r="A473" s="50"/>
      <x:c r="B473" s="64"/>
      <x:c r="C473" s="50"/>
      <x:c r="D473" s="50"/>
      <x:c r="E473" s="50" t="str">
        <x:f>IFERROR(VLOOKUP(D473,Inventory!$B:$D,2,FALSE),"")</x:f>
      </x:c>
      <x:c r="F473" s="50" t="str">
        <x:f>IFERROR(VLOOKUP(D473,Inventory!$B:$D,3,FALSE),"")</x:f>
      </x:c>
      <x:c r="G473" s="65" t="n">
        <x:v>0</x:v>
      </x:c>
      <x:c r="H473" s="66" t="n">
        <x:v>0</x:v>
      </x:c>
      <x:c r="I473" s="66" t="n">
        <x:f>G473*H473</x:f>
        <x:v>0</x:v>
      </x:c>
      <x:c r="J473" s="66" t="str">
        <x:f>IFERROR(VLOOKUP(D473,Inventory!$B:$F,4,FALSE),0)</x:f>
      </x:c>
      <x:c r="K473" s="66" t="n">
        <x:f>H473-J473</x:f>
        <x:v>0</x:v>
      </x:c>
      <x:c r="L473" s="66" t="n">
        <x:f>K473*G473</x:f>
        <x:v>0</x:v>
      </x:c>
      <x:c r="M473" s="50"/>
      <x:c r="N473" s="66"/>
      <x:c r="O473" s="50"/>
    </x:row>
    <x:row r="474">
      <x:c r="A474" s="50"/>
      <x:c r="B474" s="64"/>
      <x:c r="C474" s="50"/>
      <x:c r="D474" s="50"/>
      <x:c r="E474" s="50" t="str">
        <x:f>IFERROR(VLOOKUP(D474,Inventory!$B:$D,2,FALSE),"")</x:f>
      </x:c>
      <x:c r="F474" s="50" t="str">
        <x:f>IFERROR(VLOOKUP(D474,Inventory!$B:$D,3,FALSE),"")</x:f>
      </x:c>
      <x:c r="G474" s="65" t="n">
        <x:v>0</x:v>
      </x:c>
      <x:c r="H474" s="66" t="n">
        <x:v>0</x:v>
      </x:c>
      <x:c r="I474" s="66" t="n">
        <x:f>G474*H474</x:f>
        <x:v>0</x:v>
      </x:c>
      <x:c r="J474" s="66" t="str">
        <x:f>IFERROR(VLOOKUP(D474,Inventory!$B:$F,4,FALSE),0)</x:f>
      </x:c>
      <x:c r="K474" s="66" t="n">
        <x:f>H474-J474</x:f>
        <x:v>0</x:v>
      </x:c>
      <x:c r="L474" s="66" t="n">
        <x:f>K474*G474</x:f>
        <x:v>0</x:v>
      </x:c>
      <x:c r="M474" s="50"/>
      <x:c r="N474" s="66"/>
      <x:c r="O474" s="50"/>
    </x:row>
    <x:row r="475">
      <x:c r="A475" s="50"/>
      <x:c r="B475" s="64"/>
      <x:c r="C475" s="50"/>
      <x:c r="D475" s="50"/>
      <x:c r="E475" s="50" t="str">
        <x:f>IFERROR(VLOOKUP(D475,Inventory!$B:$D,2,FALSE),"")</x:f>
      </x:c>
      <x:c r="F475" s="50" t="str">
        <x:f>IFERROR(VLOOKUP(D475,Inventory!$B:$D,3,FALSE),"")</x:f>
      </x:c>
      <x:c r="G475" s="65" t="n">
        <x:v>0</x:v>
      </x:c>
      <x:c r="H475" s="66" t="n">
        <x:v>0</x:v>
      </x:c>
      <x:c r="I475" s="66" t="n">
        <x:f>G475*H475</x:f>
        <x:v>0</x:v>
      </x:c>
      <x:c r="J475" s="66" t="str">
        <x:f>IFERROR(VLOOKUP(D475,Inventory!$B:$F,4,FALSE),0)</x:f>
      </x:c>
      <x:c r="K475" s="66" t="n">
        <x:f>H475-J475</x:f>
        <x:v>0</x:v>
      </x:c>
      <x:c r="L475" s="66" t="n">
        <x:f>K475*G475</x:f>
        <x:v>0</x:v>
      </x:c>
      <x:c r="M475" s="50"/>
      <x:c r="N475" s="66"/>
      <x:c r="O475" s="50"/>
    </x:row>
    <x:row r="476">
      <x:c r="A476" s="50"/>
      <x:c r="B476" s="64"/>
      <x:c r="C476" s="50"/>
      <x:c r="D476" s="50"/>
      <x:c r="E476" s="50" t="str">
        <x:f>IFERROR(VLOOKUP(D476,Inventory!$B:$D,2,FALSE),"")</x:f>
      </x:c>
      <x:c r="F476" s="50" t="str">
        <x:f>IFERROR(VLOOKUP(D476,Inventory!$B:$D,3,FALSE),"")</x:f>
      </x:c>
      <x:c r="G476" s="65" t="n">
        <x:v>0</x:v>
      </x:c>
      <x:c r="H476" s="66" t="n">
        <x:v>0</x:v>
      </x:c>
      <x:c r="I476" s="66" t="n">
        <x:f>G476*H476</x:f>
        <x:v>0</x:v>
      </x:c>
      <x:c r="J476" s="66" t="str">
        <x:f>IFERROR(VLOOKUP(D476,Inventory!$B:$F,4,FALSE),0)</x:f>
      </x:c>
      <x:c r="K476" s="66" t="n">
        <x:f>H476-J476</x:f>
        <x:v>0</x:v>
      </x:c>
      <x:c r="L476" s="66" t="n">
        <x:f>K476*G476</x:f>
        <x:v>0</x:v>
      </x:c>
      <x:c r="M476" s="50"/>
      <x:c r="N476" s="66"/>
      <x:c r="O476" s="50"/>
    </x:row>
    <x:row r="477">
      <x:c r="A477" s="50"/>
      <x:c r="B477" s="64"/>
      <x:c r="C477" s="50"/>
      <x:c r="D477" s="50"/>
      <x:c r="E477" s="50" t="str">
        <x:f>IFERROR(VLOOKUP(D477,Inventory!$B:$D,2,FALSE),"")</x:f>
      </x:c>
      <x:c r="F477" s="50" t="str">
        <x:f>IFERROR(VLOOKUP(D477,Inventory!$B:$D,3,FALSE),"")</x:f>
      </x:c>
      <x:c r="G477" s="65" t="n">
        <x:v>0</x:v>
      </x:c>
      <x:c r="H477" s="66" t="n">
        <x:v>0</x:v>
      </x:c>
      <x:c r="I477" s="66" t="n">
        <x:f>G477*H477</x:f>
        <x:v>0</x:v>
      </x:c>
      <x:c r="J477" s="66" t="str">
        <x:f>IFERROR(VLOOKUP(D477,Inventory!$B:$F,4,FALSE),0)</x:f>
      </x:c>
      <x:c r="K477" s="66" t="n">
        <x:f>H477-J477</x:f>
        <x:v>0</x:v>
      </x:c>
      <x:c r="L477" s="66" t="n">
        <x:f>K477*G477</x:f>
        <x:v>0</x:v>
      </x:c>
      <x:c r="M477" s="50"/>
      <x:c r="N477" s="66"/>
      <x:c r="O477" s="50"/>
    </x:row>
    <x:row r="478">
      <x:c r="A478" s="50"/>
      <x:c r="B478" s="64"/>
      <x:c r="C478" s="50"/>
      <x:c r="D478" s="50"/>
      <x:c r="E478" s="50" t="str">
        <x:f>IFERROR(VLOOKUP(D478,Inventory!$B:$D,2,FALSE),"")</x:f>
      </x:c>
      <x:c r="F478" s="50" t="str">
        <x:f>IFERROR(VLOOKUP(D478,Inventory!$B:$D,3,FALSE),"")</x:f>
      </x:c>
      <x:c r="G478" s="65" t="n">
        <x:v>0</x:v>
      </x:c>
      <x:c r="H478" s="66" t="n">
        <x:v>0</x:v>
      </x:c>
      <x:c r="I478" s="66" t="n">
        <x:f>G478*H478</x:f>
        <x:v>0</x:v>
      </x:c>
      <x:c r="J478" s="66" t="str">
        <x:f>IFERROR(VLOOKUP(D478,Inventory!$B:$F,4,FALSE),0)</x:f>
      </x:c>
      <x:c r="K478" s="66" t="n">
        <x:f>H478-J478</x:f>
        <x:v>0</x:v>
      </x:c>
      <x:c r="L478" s="66" t="n">
        <x:f>K478*G478</x:f>
        <x:v>0</x:v>
      </x:c>
      <x:c r="M478" s="50"/>
      <x:c r="N478" s="66"/>
      <x:c r="O478" s="50"/>
    </x:row>
    <x:row r="479">
      <x:c r="A479" s="50"/>
      <x:c r="B479" s="64"/>
      <x:c r="C479" s="50"/>
      <x:c r="D479" s="50"/>
      <x:c r="E479" s="50" t="str">
        <x:f>IFERROR(VLOOKUP(D479,Inventory!$B:$D,2,FALSE),"")</x:f>
      </x:c>
      <x:c r="F479" s="50" t="str">
        <x:f>IFERROR(VLOOKUP(D479,Inventory!$B:$D,3,FALSE),"")</x:f>
      </x:c>
      <x:c r="G479" s="65" t="n">
        <x:v>0</x:v>
      </x:c>
      <x:c r="H479" s="66" t="n">
        <x:v>0</x:v>
      </x:c>
      <x:c r="I479" s="66" t="n">
        <x:f>G479*H479</x:f>
        <x:v>0</x:v>
      </x:c>
      <x:c r="J479" s="66" t="str">
        <x:f>IFERROR(VLOOKUP(D479,Inventory!$B:$F,4,FALSE),0)</x:f>
      </x:c>
      <x:c r="K479" s="66" t="n">
        <x:f>H479-J479</x:f>
        <x:v>0</x:v>
      </x:c>
      <x:c r="L479" s="66" t="n">
        <x:f>K479*G479</x:f>
        <x:v>0</x:v>
      </x:c>
      <x:c r="M479" s="50"/>
      <x:c r="N479" s="66"/>
      <x:c r="O479" s="50"/>
    </x:row>
    <x:row r="480">
      <x:c r="A480" s="50"/>
      <x:c r="B480" s="64"/>
      <x:c r="C480" s="50"/>
      <x:c r="D480" s="50"/>
      <x:c r="E480" s="50" t="str">
        <x:f>IFERROR(VLOOKUP(D480,Inventory!$B:$D,2,FALSE),"")</x:f>
      </x:c>
      <x:c r="F480" s="50" t="str">
        <x:f>IFERROR(VLOOKUP(D480,Inventory!$B:$D,3,FALSE),"")</x:f>
      </x:c>
      <x:c r="G480" s="65" t="n">
        <x:v>0</x:v>
      </x:c>
      <x:c r="H480" s="66" t="n">
        <x:v>0</x:v>
      </x:c>
      <x:c r="I480" s="66" t="n">
        <x:f>G480*H480</x:f>
        <x:v>0</x:v>
      </x:c>
      <x:c r="J480" s="66" t="str">
        <x:f>IFERROR(VLOOKUP(D480,Inventory!$B:$F,4,FALSE),0)</x:f>
      </x:c>
      <x:c r="K480" s="66" t="n">
        <x:f>H480-J480</x:f>
        <x:v>0</x:v>
      </x:c>
      <x:c r="L480" s="66" t="n">
        <x:f>K480*G480</x:f>
        <x:v>0</x:v>
      </x:c>
      <x:c r="M480" s="50"/>
      <x:c r="N480" s="66"/>
      <x:c r="O480" s="50"/>
    </x:row>
    <x:row r="481">
      <x:c r="A481" s="50"/>
      <x:c r="B481" s="64"/>
      <x:c r="C481" s="50"/>
      <x:c r="D481" s="50"/>
      <x:c r="E481" s="50" t="str">
        <x:f>IFERROR(VLOOKUP(D481,Inventory!$B:$D,2,FALSE),"")</x:f>
      </x:c>
      <x:c r="F481" s="50" t="str">
        <x:f>IFERROR(VLOOKUP(D481,Inventory!$B:$D,3,FALSE),"")</x:f>
      </x:c>
      <x:c r="G481" s="65" t="n">
        <x:v>0</x:v>
      </x:c>
      <x:c r="H481" s="66" t="n">
        <x:v>0</x:v>
      </x:c>
      <x:c r="I481" s="66" t="n">
        <x:f>G481*H481</x:f>
        <x:v>0</x:v>
      </x:c>
      <x:c r="J481" s="66" t="str">
        <x:f>IFERROR(VLOOKUP(D481,Inventory!$B:$F,4,FALSE),0)</x:f>
      </x:c>
      <x:c r="K481" s="66" t="n">
        <x:f>H481-J481</x:f>
        <x:v>0</x:v>
      </x:c>
      <x:c r="L481" s="66" t="n">
        <x:f>K481*G481</x:f>
        <x:v>0</x:v>
      </x:c>
      <x:c r="M481" s="50"/>
      <x:c r="N481" s="66"/>
      <x:c r="O481" s="50"/>
    </x:row>
    <x:row r="482">
      <x:c r="A482" s="50"/>
      <x:c r="B482" s="64"/>
      <x:c r="C482" s="50"/>
      <x:c r="D482" s="50"/>
      <x:c r="E482" s="50" t="str">
        <x:f>IFERROR(VLOOKUP(D482,Inventory!$B:$D,2,FALSE),"")</x:f>
      </x:c>
      <x:c r="F482" s="50" t="str">
        <x:f>IFERROR(VLOOKUP(D482,Inventory!$B:$D,3,FALSE),"")</x:f>
      </x:c>
      <x:c r="G482" s="65" t="n">
        <x:v>0</x:v>
      </x:c>
      <x:c r="H482" s="66" t="n">
        <x:v>0</x:v>
      </x:c>
      <x:c r="I482" s="66" t="n">
        <x:f>G482*H482</x:f>
        <x:v>0</x:v>
      </x:c>
      <x:c r="J482" s="66" t="str">
        <x:f>IFERROR(VLOOKUP(D482,Inventory!$B:$F,4,FALSE),0)</x:f>
      </x:c>
      <x:c r="K482" s="66" t="n">
        <x:f>H482-J482</x:f>
        <x:v>0</x:v>
      </x:c>
      <x:c r="L482" s="66" t="n">
        <x:f>K482*G482</x:f>
        <x:v>0</x:v>
      </x:c>
      <x:c r="M482" s="50"/>
      <x:c r="N482" s="66"/>
      <x:c r="O482" s="50"/>
    </x:row>
    <x:row r="483">
      <x:c r="A483" s="50"/>
      <x:c r="B483" s="64"/>
      <x:c r="C483" s="50"/>
      <x:c r="D483" s="50"/>
      <x:c r="E483" s="50" t="str">
        <x:f>IFERROR(VLOOKUP(D483,Inventory!$B:$D,2,FALSE),"")</x:f>
      </x:c>
      <x:c r="F483" s="50" t="str">
        <x:f>IFERROR(VLOOKUP(D483,Inventory!$B:$D,3,FALSE),"")</x:f>
      </x:c>
      <x:c r="G483" s="65" t="n">
        <x:v>0</x:v>
      </x:c>
      <x:c r="H483" s="66" t="n">
        <x:v>0</x:v>
      </x:c>
      <x:c r="I483" s="66" t="n">
        <x:f>G483*H483</x:f>
        <x:v>0</x:v>
      </x:c>
      <x:c r="J483" s="66" t="str">
        <x:f>IFERROR(VLOOKUP(D483,Inventory!$B:$F,4,FALSE),0)</x:f>
      </x:c>
      <x:c r="K483" s="66" t="n">
        <x:f>H483-J483</x:f>
        <x:v>0</x:v>
      </x:c>
      <x:c r="L483" s="66" t="n">
        <x:f>K483*G483</x:f>
        <x:v>0</x:v>
      </x:c>
      <x:c r="M483" s="50"/>
      <x:c r="N483" s="66"/>
      <x:c r="O483" s="50"/>
    </x:row>
    <x:row r="484">
      <x:c r="A484" s="50"/>
      <x:c r="B484" s="64"/>
      <x:c r="C484" s="50"/>
      <x:c r="D484" s="50"/>
      <x:c r="E484" s="50" t="str">
        <x:f>IFERROR(VLOOKUP(D484,Inventory!$B:$D,2,FALSE),"")</x:f>
      </x:c>
      <x:c r="F484" s="50" t="str">
        <x:f>IFERROR(VLOOKUP(D484,Inventory!$B:$D,3,FALSE),"")</x:f>
      </x:c>
      <x:c r="G484" s="65" t="n">
        <x:v>0</x:v>
      </x:c>
      <x:c r="H484" s="66" t="n">
        <x:v>0</x:v>
      </x:c>
      <x:c r="I484" s="66" t="n">
        <x:f>G484*H484</x:f>
        <x:v>0</x:v>
      </x:c>
      <x:c r="J484" s="66" t="str">
        <x:f>IFERROR(VLOOKUP(D484,Inventory!$B:$F,4,FALSE),0)</x:f>
      </x:c>
      <x:c r="K484" s="66" t="n">
        <x:f>H484-J484</x:f>
        <x:v>0</x:v>
      </x:c>
      <x:c r="L484" s="66" t="n">
        <x:f>K484*G484</x:f>
        <x:v>0</x:v>
      </x:c>
      <x:c r="M484" s="50"/>
      <x:c r="N484" s="66"/>
      <x:c r="O484" s="50"/>
    </x:row>
    <x:row r="485">
      <x:c r="A485" s="50"/>
      <x:c r="B485" s="64"/>
      <x:c r="C485" s="50"/>
      <x:c r="D485" s="50"/>
      <x:c r="E485" s="50" t="str">
        <x:f>IFERROR(VLOOKUP(D485,Inventory!$B:$D,2,FALSE),"")</x:f>
      </x:c>
      <x:c r="F485" s="50" t="str">
        <x:f>IFERROR(VLOOKUP(D485,Inventory!$B:$D,3,FALSE),"")</x:f>
      </x:c>
      <x:c r="G485" s="65" t="n">
        <x:v>0</x:v>
      </x:c>
      <x:c r="H485" s="66" t="n">
        <x:v>0</x:v>
      </x:c>
      <x:c r="I485" s="66" t="n">
        <x:f>G485*H485</x:f>
        <x:v>0</x:v>
      </x:c>
      <x:c r="J485" s="66" t="str">
        <x:f>IFERROR(VLOOKUP(D485,Inventory!$B:$F,4,FALSE),0)</x:f>
      </x:c>
      <x:c r="K485" s="66" t="n">
        <x:f>H485-J485</x:f>
        <x:v>0</x:v>
      </x:c>
      <x:c r="L485" s="66" t="n">
        <x:f>K485*G485</x:f>
        <x:v>0</x:v>
      </x:c>
      <x:c r="M485" s="50"/>
      <x:c r="N485" s="66"/>
      <x:c r="O485" s="50"/>
    </x:row>
    <x:row r="486">
      <x:c r="A486" s="50"/>
      <x:c r="B486" s="64"/>
      <x:c r="C486" s="50"/>
      <x:c r="D486" s="50"/>
      <x:c r="E486" s="50" t="str">
        <x:f>IFERROR(VLOOKUP(D486,Inventory!$B:$D,2,FALSE),"")</x:f>
      </x:c>
      <x:c r="F486" s="50" t="str">
        <x:f>IFERROR(VLOOKUP(D486,Inventory!$B:$D,3,FALSE),"")</x:f>
      </x:c>
      <x:c r="G486" s="65" t="n">
        <x:v>0</x:v>
      </x:c>
      <x:c r="H486" s="66" t="n">
        <x:v>0</x:v>
      </x:c>
      <x:c r="I486" s="66" t="n">
        <x:f>G486*H486</x:f>
        <x:v>0</x:v>
      </x:c>
      <x:c r="J486" s="66" t="str">
        <x:f>IFERROR(VLOOKUP(D486,Inventory!$B:$F,4,FALSE),0)</x:f>
      </x:c>
      <x:c r="K486" s="66" t="n">
        <x:f>H486-J486</x:f>
        <x:v>0</x:v>
      </x:c>
      <x:c r="L486" s="66" t="n">
        <x:f>K486*G486</x:f>
        <x:v>0</x:v>
      </x:c>
      <x:c r="M486" s="50"/>
      <x:c r="N486" s="66"/>
      <x:c r="O486" s="50"/>
    </x:row>
    <x:row r="487">
      <x:c r="A487" s="50"/>
      <x:c r="B487" s="64"/>
      <x:c r="C487" s="50"/>
      <x:c r="D487" s="50"/>
      <x:c r="E487" s="50" t="str">
        <x:f>IFERROR(VLOOKUP(D487,Inventory!$B:$D,2,FALSE),"")</x:f>
      </x:c>
      <x:c r="F487" s="50" t="str">
        <x:f>IFERROR(VLOOKUP(D487,Inventory!$B:$D,3,FALSE),"")</x:f>
      </x:c>
      <x:c r="G487" s="65" t="n">
        <x:v>0</x:v>
      </x:c>
      <x:c r="H487" s="66" t="n">
        <x:v>0</x:v>
      </x:c>
      <x:c r="I487" s="66" t="n">
        <x:f>G487*H487</x:f>
        <x:v>0</x:v>
      </x:c>
      <x:c r="J487" s="66" t="str">
        <x:f>IFERROR(VLOOKUP(D487,Inventory!$B:$F,4,FALSE),0)</x:f>
      </x:c>
      <x:c r="K487" s="66" t="n">
        <x:f>H487-J487</x:f>
        <x:v>0</x:v>
      </x:c>
      <x:c r="L487" s="66" t="n">
        <x:f>K487*G487</x:f>
        <x:v>0</x:v>
      </x:c>
      <x:c r="M487" s="50"/>
      <x:c r="N487" s="66"/>
      <x:c r="O487" s="50"/>
    </x:row>
    <x:row r="488">
      <x:c r="A488" s="50"/>
      <x:c r="B488" s="64"/>
      <x:c r="C488" s="50"/>
      <x:c r="D488" s="50"/>
      <x:c r="E488" s="50" t="str">
        <x:f>IFERROR(VLOOKUP(D488,Inventory!$B:$D,2,FALSE),"")</x:f>
      </x:c>
      <x:c r="F488" s="50" t="str">
        <x:f>IFERROR(VLOOKUP(D488,Inventory!$B:$D,3,FALSE),"")</x:f>
      </x:c>
      <x:c r="G488" s="65" t="n">
        <x:v>0</x:v>
      </x:c>
      <x:c r="H488" s="66" t="n">
        <x:v>0</x:v>
      </x:c>
      <x:c r="I488" s="66" t="n">
        <x:f>G488*H488</x:f>
        <x:v>0</x:v>
      </x:c>
      <x:c r="J488" s="66" t="str">
        <x:f>IFERROR(VLOOKUP(D488,Inventory!$B:$F,4,FALSE),0)</x:f>
      </x:c>
      <x:c r="K488" s="66" t="n">
        <x:f>H488-J488</x:f>
        <x:v>0</x:v>
      </x:c>
      <x:c r="L488" s="66" t="n">
        <x:f>K488*G488</x:f>
        <x:v>0</x:v>
      </x:c>
      <x:c r="M488" s="50"/>
      <x:c r="N488" s="66"/>
      <x:c r="O488" s="50"/>
    </x:row>
    <x:row r="489">
      <x:c r="A489" s="50"/>
      <x:c r="B489" s="64"/>
      <x:c r="C489" s="50"/>
      <x:c r="D489" s="50"/>
      <x:c r="E489" s="50" t="str">
        <x:f>IFERROR(VLOOKUP(D489,Inventory!$B:$D,2,FALSE),"")</x:f>
      </x:c>
      <x:c r="F489" s="50" t="str">
        <x:f>IFERROR(VLOOKUP(D489,Inventory!$B:$D,3,FALSE),"")</x:f>
      </x:c>
      <x:c r="G489" s="65" t="n">
        <x:v>0</x:v>
      </x:c>
      <x:c r="H489" s="66" t="n">
        <x:v>0</x:v>
      </x:c>
      <x:c r="I489" s="66" t="n">
        <x:f>G489*H489</x:f>
        <x:v>0</x:v>
      </x:c>
      <x:c r="J489" s="66" t="str">
        <x:f>IFERROR(VLOOKUP(D489,Inventory!$B:$F,4,FALSE),0)</x:f>
      </x:c>
      <x:c r="K489" s="66" t="n">
        <x:f>H489-J489</x:f>
        <x:v>0</x:v>
      </x:c>
      <x:c r="L489" s="66" t="n">
        <x:f>K489*G489</x:f>
        <x:v>0</x:v>
      </x:c>
      <x:c r="M489" s="50"/>
      <x:c r="N489" s="66"/>
      <x:c r="O489" s="50"/>
    </x:row>
    <x:row r="490">
      <x:c r="A490" s="50"/>
      <x:c r="B490" s="64"/>
      <x:c r="C490" s="50"/>
      <x:c r="D490" s="50"/>
      <x:c r="E490" s="50" t="str">
        <x:f>IFERROR(VLOOKUP(D490,Inventory!$B:$D,2,FALSE),"")</x:f>
      </x:c>
      <x:c r="F490" s="50" t="str">
        <x:f>IFERROR(VLOOKUP(D490,Inventory!$B:$D,3,FALSE),"")</x:f>
      </x:c>
      <x:c r="G490" s="65" t="n">
        <x:v>0</x:v>
      </x:c>
      <x:c r="H490" s="66" t="n">
        <x:v>0</x:v>
      </x:c>
      <x:c r="I490" s="66" t="n">
        <x:f>G490*H490</x:f>
        <x:v>0</x:v>
      </x:c>
      <x:c r="J490" s="66" t="str">
        <x:f>IFERROR(VLOOKUP(D490,Inventory!$B:$F,4,FALSE),0)</x:f>
      </x:c>
      <x:c r="K490" s="66" t="n">
        <x:f>H490-J490</x:f>
        <x:v>0</x:v>
      </x:c>
      <x:c r="L490" s="66" t="n">
        <x:f>K490*G490</x:f>
        <x:v>0</x:v>
      </x:c>
      <x:c r="M490" s="50"/>
      <x:c r="N490" s="66"/>
      <x:c r="O490" s="50"/>
    </x:row>
    <x:row r="491">
      <x:c r="A491" s="50"/>
      <x:c r="B491" s="64"/>
      <x:c r="C491" s="50"/>
      <x:c r="D491" s="50"/>
      <x:c r="E491" s="50" t="str">
        <x:f>IFERROR(VLOOKUP(D491,Inventory!$B:$D,2,FALSE),"")</x:f>
      </x:c>
      <x:c r="F491" s="50" t="str">
        <x:f>IFERROR(VLOOKUP(D491,Inventory!$B:$D,3,FALSE),"")</x:f>
      </x:c>
      <x:c r="G491" s="65" t="n">
        <x:v>0</x:v>
      </x:c>
      <x:c r="H491" s="66" t="n">
        <x:v>0</x:v>
      </x:c>
      <x:c r="I491" s="66" t="n">
        <x:f>G491*H491</x:f>
        <x:v>0</x:v>
      </x:c>
      <x:c r="J491" s="66" t="str">
        <x:f>IFERROR(VLOOKUP(D491,Inventory!$B:$F,4,FALSE),0)</x:f>
      </x:c>
      <x:c r="K491" s="66" t="n">
        <x:f>H491-J491</x:f>
        <x:v>0</x:v>
      </x:c>
      <x:c r="L491" s="66" t="n">
        <x:f>K491*G491</x:f>
        <x:v>0</x:v>
      </x:c>
      <x:c r="M491" s="50"/>
      <x:c r="N491" s="66"/>
      <x:c r="O491" s="50"/>
    </x:row>
    <x:row r="492">
      <x:c r="A492" s="50"/>
      <x:c r="B492" s="64"/>
      <x:c r="C492" s="50"/>
      <x:c r="D492" s="50"/>
      <x:c r="E492" s="50" t="str">
        <x:f>IFERROR(VLOOKUP(D492,Inventory!$B:$D,2,FALSE),"")</x:f>
      </x:c>
      <x:c r="F492" s="50" t="str">
        <x:f>IFERROR(VLOOKUP(D492,Inventory!$B:$D,3,FALSE),"")</x:f>
      </x:c>
      <x:c r="G492" s="65" t="n">
        <x:v>0</x:v>
      </x:c>
      <x:c r="H492" s="66" t="n">
        <x:v>0</x:v>
      </x:c>
      <x:c r="I492" s="66" t="n">
        <x:f>G492*H492</x:f>
        <x:v>0</x:v>
      </x:c>
      <x:c r="J492" s="66" t="str">
        <x:f>IFERROR(VLOOKUP(D492,Inventory!$B:$F,4,FALSE),0)</x:f>
      </x:c>
      <x:c r="K492" s="66" t="n">
        <x:f>H492-J492</x:f>
        <x:v>0</x:v>
      </x:c>
      <x:c r="L492" s="66" t="n">
        <x:f>K492*G492</x:f>
        <x:v>0</x:v>
      </x:c>
      <x:c r="M492" s="50"/>
      <x:c r="N492" s="66"/>
      <x:c r="O492" s="50"/>
    </x:row>
    <x:row r="493">
      <x:c r="A493" s="50"/>
      <x:c r="B493" s="64"/>
      <x:c r="C493" s="50"/>
      <x:c r="D493" s="50"/>
      <x:c r="E493" s="50" t="str">
        <x:f>IFERROR(VLOOKUP(D493,Inventory!$B:$D,2,FALSE),"")</x:f>
      </x:c>
      <x:c r="F493" s="50" t="str">
        <x:f>IFERROR(VLOOKUP(D493,Inventory!$B:$D,3,FALSE),"")</x:f>
      </x:c>
      <x:c r="G493" s="65" t="n">
        <x:v>0</x:v>
      </x:c>
      <x:c r="H493" s="66" t="n">
        <x:v>0</x:v>
      </x:c>
      <x:c r="I493" s="66" t="n">
        <x:f>G493*H493</x:f>
        <x:v>0</x:v>
      </x:c>
      <x:c r="J493" s="66" t="str">
        <x:f>IFERROR(VLOOKUP(D493,Inventory!$B:$F,4,FALSE),0)</x:f>
      </x:c>
      <x:c r="K493" s="66" t="n">
        <x:f>H493-J493</x:f>
        <x:v>0</x:v>
      </x:c>
      <x:c r="L493" s="66" t="n">
        <x:f>K493*G493</x:f>
        <x:v>0</x:v>
      </x:c>
      <x:c r="M493" s="50"/>
      <x:c r="N493" s="66"/>
      <x:c r="O493" s="50"/>
    </x:row>
    <x:row r="494">
      <x:c r="A494" s="50"/>
      <x:c r="B494" s="64"/>
      <x:c r="C494" s="50"/>
      <x:c r="D494" s="50"/>
      <x:c r="E494" s="50" t="str">
        <x:f>IFERROR(VLOOKUP(D494,Inventory!$B:$D,2,FALSE),"")</x:f>
      </x:c>
      <x:c r="F494" s="50" t="str">
        <x:f>IFERROR(VLOOKUP(D494,Inventory!$B:$D,3,FALSE),"")</x:f>
      </x:c>
      <x:c r="G494" s="65" t="n">
        <x:v>0</x:v>
      </x:c>
      <x:c r="H494" s="66" t="n">
        <x:v>0</x:v>
      </x:c>
      <x:c r="I494" s="66" t="n">
        <x:f>G494*H494</x:f>
        <x:v>0</x:v>
      </x:c>
      <x:c r="J494" s="66" t="str">
        <x:f>IFERROR(VLOOKUP(D494,Inventory!$B:$F,4,FALSE),0)</x:f>
      </x:c>
      <x:c r="K494" s="66" t="n">
        <x:f>H494-J494</x:f>
        <x:v>0</x:v>
      </x:c>
      <x:c r="L494" s="66" t="n">
        <x:f>K494*G494</x:f>
        <x:v>0</x:v>
      </x:c>
      <x:c r="M494" s="50"/>
      <x:c r="N494" s="66"/>
      <x:c r="O494" s="50"/>
    </x:row>
    <x:row r="495">
      <x:c r="A495" s="50"/>
      <x:c r="B495" s="64"/>
      <x:c r="C495" s="50"/>
      <x:c r="D495" s="50"/>
      <x:c r="E495" s="50" t="str">
        <x:f>IFERROR(VLOOKUP(D495,Inventory!$B:$D,2,FALSE),"")</x:f>
      </x:c>
      <x:c r="F495" s="50" t="str">
        <x:f>IFERROR(VLOOKUP(D495,Inventory!$B:$D,3,FALSE),"")</x:f>
      </x:c>
      <x:c r="G495" s="65" t="n">
        <x:v>0</x:v>
      </x:c>
      <x:c r="H495" s="66" t="n">
        <x:v>0</x:v>
      </x:c>
      <x:c r="I495" s="66" t="n">
        <x:f>G495*H495</x:f>
        <x:v>0</x:v>
      </x:c>
      <x:c r="J495" s="66" t="str">
        <x:f>IFERROR(VLOOKUP(D495,Inventory!$B:$F,4,FALSE),0)</x:f>
      </x:c>
      <x:c r="K495" s="66" t="n">
        <x:f>H495-J495</x:f>
        <x:v>0</x:v>
      </x:c>
      <x:c r="L495" s="66" t="n">
        <x:f>K495*G495</x:f>
        <x:v>0</x:v>
      </x:c>
      <x:c r="M495" s="50"/>
      <x:c r="N495" s="66"/>
      <x:c r="O495" s="50"/>
    </x:row>
    <x:row r="496">
      <x:c r="A496" s="50"/>
      <x:c r="B496" s="64"/>
      <x:c r="C496" s="50"/>
      <x:c r="D496" s="50"/>
      <x:c r="E496" s="50" t="str">
        <x:f>IFERROR(VLOOKUP(D496,Inventory!$B:$D,2,FALSE),"")</x:f>
      </x:c>
      <x:c r="F496" s="50" t="str">
        <x:f>IFERROR(VLOOKUP(D496,Inventory!$B:$D,3,FALSE),"")</x:f>
      </x:c>
      <x:c r="G496" s="65" t="n">
        <x:v>0</x:v>
      </x:c>
      <x:c r="H496" s="66" t="n">
        <x:v>0</x:v>
      </x:c>
      <x:c r="I496" s="66" t="n">
        <x:f>G496*H496</x:f>
        <x:v>0</x:v>
      </x:c>
      <x:c r="J496" s="66" t="str">
        <x:f>IFERROR(VLOOKUP(D496,Inventory!$B:$F,4,FALSE),0)</x:f>
      </x:c>
      <x:c r="K496" s="66" t="n">
        <x:f>H496-J496</x:f>
        <x:v>0</x:v>
      </x:c>
      <x:c r="L496" s="66" t="n">
        <x:f>K496*G496</x:f>
        <x:v>0</x:v>
      </x:c>
      <x:c r="M496" s="50"/>
      <x:c r="N496" s="66"/>
      <x:c r="O496" s="50"/>
    </x:row>
    <x:row r="497">
      <x:c r="A497" s="50"/>
      <x:c r="B497" s="64"/>
      <x:c r="C497" s="50"/>
      <x:c r="D497" s="50"/>
      <x:c r="E497" s="50" t="str">
        <x:f>IFERROR(VLOOKUP(D497,Inventory!$B:$D,2,FALSE),"")</x:f>
      </x:c>
      <x:c r="F497" s="50" t="str">
        <x:f>IFERROR(VLOOKUP(D497,Inventory!$B:$D,3,FALSE),"")</x:f>
      </x:c>
      <x:c r="G497" s="65" t="n">
        <x:v>0</x:v>
      </x:c>
      <x:c r="H497" s="66" t="n">
        <x:v>0</x:v>
      </x:c>
      <x:c r="I497" s="66" t="n">
        <x:f>G497*H497</x:f>
        <x:v>0</x:v>
      </x:c>
      <x:c r="J497" s="66" t="str">
        <x:f>IFERROR(VLOOKUP(D497,Inventory!$B:$F,4,FALSE),0)</x:f>
      </x:c>
      <x:c r="K497" s="66" t="n">
        <x:f>H497-J497</x:f>
        <x:v>0</x:v>
      </x:c>
      <x:c r="L497" s="66" t="n">
        <x:f>K497*G497</x:f>
        <x:v>0</x:v>
      </x:c>
      <x:c r="M497" s="50"/>
      <x:c r="N497" s="66"/>
      <x:c r="O497" s="50"/>
    </x:row>
    <x:row r="498">
      <x:c r="A498" s="50"/>
      <x:c r="B498" s="64"/>
      <x:c r="C498" s="50"/>
      <x:c r="D498" s="50"/>
      <x:c r="E498" s="50" t="str">
        <x:f>IFERROR(VLOOKUP(D498,Inventory!$B:$D,2,FALSE),"")</x:f>
      </x:c>
      <x:c r="F498" s="50" t="str">
        <x:f>IFERROR(VLOOKUP(D498,Inventory!$B:$D,3,FALSE),"")</x:f>
      </x:c>
      <x:c r="G498" s="65" t="n">
        <x:v>0</x:v>
      </x:c>
      <x:c r="H498" s="66" t="n">
        <x:v>0</x:v>
      </x:c>
      <x:c r="I498" s="66" t="n">
        <x:f>G498*H498</x:f>
        <x:v>0</x:v>
      </x:c>
      <x:c r="J498" s="66" t="str">
        <x:f>IFERROR(VLOOKUP(D498,Inventory!$B:$F,4,FALSE),0)</x:f>
      </x:c>
      <x:c r="K498" s="66" t="n">
        <x:f>H498-J498</x:f>
        <x:v>0</x:v>
      </x:c>
      <x:c r="L498" s="66" t="n">
        <x:f>K498*G498</x:f>
        <x:v>0</x:v>
      </x:c>
      <x:c r="M498" s="50"/>
      <x:c r="N498" s="66"/>
      <x:c r="O498" s="50"/>
    </x:row>
    <x:row r="499">
      <x:c r="A499" s="50"/>
      <x:c r="B499" s="64"/>
      <x:c r="C499" s="50"/>
      <x:c r="D499" s="50"/>
      <x:c r="E499" s="50" t="str">
        <x:f>IFERROR(VLOOKUP(D499,Inventory!$B:$D,2,FALSE),"")</x:f>
      </x:c>
      <x:c r="F499" s="50" t="str">
        <x:f>IFERROR(VLOOKUP(D499,Inventory!$B:$D,3,FALSE),"")</x:f>
      </x:c>
      <x:c r="G499" s="65" t="n">
        <x:v>0</x:v>
      </x:c>
      <x:c r="H499" s="66" t="n">
        <x:v>0</x:v>
      </x:c>
      <x:c r="I499" s="66" t="n">
        <x:f>G499*H499</x:f>
        <x:v>0</x:v>
      </x:c>
      <x:c r="J499" s="66" t="str">
        <x:f>IFERROR(VLOOKUP(D499,Inventory!$B:$F,4,FALSE),0)</x:f>
      </x:c>
      <x:c r="K499" s="66" t="n">
        <x:f>H499-J499</x:f>
        <x:v>0</x:v>
      </x:c>
      <x:c r="L499" s="66" t="n">
        <x:f>K499*G499</x:f>
        <x:v>0</x:v>
      </x:c>
      <x:c r="M499" s="50"/>
      <x:c r="N499" s="66"/>
      <x:c r="O499" s="50"/>
    </x:row>
    <x:row r="500">
      <x:c r="A500" s="50"/>
      <x:c r="B500" s="64"/>
      <x:c r="C500" s="50"/>
      <x:c r="D500" s="50"/>
      <x:c r="E500" s="50" t="str">
        <x:f>IFERROR(VLOOKUP(D500,Inventory!$B:$D,2,FALSE),"")</x:f>
      </x:c>
      <x:c r="F500" s="50" t="str">
        <x:f>IFERROR(VLOOKUP(D500,Inventory!$B:$D,3,FALSE),"")</x:f>
      </x:c>
      <x:c r="G500" s="65" t="n">
        <x:v>0</x:v>
      </x:c>
      <x:c r="H500" s="66" t="n">
        <x:v>0</x:v>
      </x:c>
      <x:c r="I500" s="66" t="n">
        <x:f>G500*H500</x:f>
        <x:v>0</x:v>
      </x:c>
      <x:c r="J500" s="66" t="str">
        <x:f>IFERROR(VLOOKUP(D500,Inventory!$B:$F,4,FALSE),0)</x:f>
      </x:c>
      <x:c r="K500" s="66" t="n">
        <x:f>H500-J500</x:f>
        <x:v>0</x:v>
      </x:c>
      <x:c r="L500" s="66" t="n">
        <x:f>K500*G500</x:f>
        <x:v>0</x:v>
      </x:c>
      <x:c r="M500" s="50"/>
      <x:c r="N500" s="66"/>
      <x:c r="O500" s="50"/>
    </x:row>
  </x:sheetData>
  <x:mergeCells>
    <x:mergeCell ref="A1:O1"/>
  </x:mergeCells>
  <x:conditionalFormatting sqref="M4:M500">
    <x:cfRule type="expression" dxfId="1" priority="1">
      <x:formula>$M4="Unpaid"</x:formula>
    </x:cfRule>
    <x:cfRule type="expression" dxfId="2" priority="2">
      <x:formula>$M4="Paid"</x:formula>
    </x:cfRule>
  </x:conditionalFormatting>
  <x:dataValidations count="3">
    <x:dataValidation type="list" sqref="C4:C500">
      <x:formula1>Clients!$B$4:$B$500</x:formula1>
    </x:dataValidation>
    <x:dataValidation type="list" sqref="D4:D500">
      <x:formula1>Inventory!$B$4:$B$500</x:formula1>
    </x:dataValidation>
    <x:dataValidation type="list" sqref="M4:M500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250be0aaf42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28" customHeight="1">
      <x:c r="A1" s="15" t="str">
        <x:v>Clients / Customers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4" customHeight="1">
      <x:c r="A3" s="6" t="str">
        <x:v>Client ID</x:v>
      </x:c>
      <x:c r="B3" s="6" t="str">
        <x:v>Client Name</x:v>
      </x:c>
      <x:c r="C3" s="6" t="str">
        <x:v>Phone</x:v>
      </x:c>
      <x:c r="D3" s="6" t="str">
        <x:v>Address</x:v>
      </x:c>
      <x:c r="E3" s="6" t="str">
        <x:v>Total Sales</x:v>
      </x:c>
      <x:c r="F3" s="6" t="str">
        <x:v>Paid Amount</x:v>
      </x:c>
      <x:c r="G3" s="6" t="str">
        <x:v>Outstanding Balance</x:v>
      </x:c>
      <x:c r="H3" s="6" t="str">
        <x:v>Last Purchase Date</x:v>
      </x:c>
      <x:c r="I3" s="6" t="str">
        <x:v>Notes</x:v>
      </x:c>
      <x:c r="J3" s="50"/>
      <x:c r="K3" s="50"/>
      <x:c r="L3" s="50"/>
      <x:c r="M3" s="50"/>
      <x:c r="N3" s="50"/>
      <x:c r="O3" s="50"/>
    </x:row>
    <x:row r="4">
      <x:c r="A4" s="50" t="str">
        <x:v>CL001</x:v>
      </x:c>
      <x:c r="B4" s="50" t="str">
        <x:v>Ahmed Printers</x:v>
      </x:c>
      <x:c r="C4" s="50" t="str"/>
      <x:c r="D4" s="50" t="str">
        <x:v>Karachi</x:v>
      </x:c>
      <x:c r="E4" s="66" t="n">
        <x:f>SUMIF(Sales!$C:$C,B4,Sales!$I:$I)</x:f>
        <x:v>0</x:v>
      </x:c>
      <x:c r="F4" s="66" t="n">
        <x:v>0</x:v>
      </x:c>
      <x:c r="G4" s="66" t="n">
        <x:f>E4-F4</x:f>
        <x:v>0</x:v>
      </x:c>
      <x:c r="H4" s="64" t="n">
        <x:f>IFERROR(MAXIFS(Sales!$B:$B,Sales!$C:$C,B4),"")</x:f>
        <x:v>46194</x:v>
      </x:c>
      <x:c r="I4" s="50" t="str"/>
      <x:c r="J4" s="50"/>
      <x:c r="K4" s="50"/>
      <x:c r="L4" s="50"/>
      <x:c r="M4" s="50"/>
      <x:c r="N4" s="50"/>
      <x:c r="O4" s="50"/>
    </x:row>
    <x:row r="5">
      <x:c r="A5" s="50" t="str">
        <x:v>CL002</x:v>
      </x:c>
      <x:c r="B5" s="50" t="str">
        <x:v>Bilal Graphics</x:v>
      </x:c>
      <x:c r="C5" s="50" t="str"/>
      <x:c r="D5" s="50" t="str">
        <x:v>Karachi</x:v>
      </x:c>
      <x:c r="E5" s="66" t="n">
        <x:f>SUMIF(Sales!$C:$C,B5,Sales!$I:$I)</x:f>
        <x:v>0</x:v>
      </x:c>
      <x:c r="F5" s="66" t="n">
        <x:v>0</x:v>
      </x:c>
      <x:c r="G5" s="66" t="n">
        <x:f>E5-F5</x:f>
        <x:v>0</x:v>
      </x:c>
      <x:c r="H5" s="64" t="n">
        <x:f>IFERROR(MAXIFS(Sales!$B:$B,Sales!$C:$C,B5),"")</x:f>
        <x:v>46194</x:v>
      </x:c>
      <x:c r="I5" s="50" t="str"/>
      <x:c r="J5" s="50"/>
      <x:c r="K5" s="50"/>
      <x:c r="L5" s="50"/>
      <x:c r="M5" s="50"/>
      <x:c r="N5" s="50"/>
      <x:c r="O5" s="50"/>
    </x:row>
    <x:row r="6">
      <x:c r="A6" s="50" t="str">
        <x:v>CL003</x:v>
      </x:c>
      <x:c r="B6" s="50" t="str">
        <x:v>Sample Client</x:v>
      </x:c>
      <x:c r="C6" s="50" t="str"/>
      <x:c r="D6" s="50" t="str">
        <x:v>Karachi</x:v>
      </x:c>
      <x:c r="E6" s="66" t="n">
        <x:f>SUMIF(Sales!$C:$C,B6,Sales!$I:$I)</x:f>
        <x:v>0</x:v>
      </x:c>
      <x:c r="F6" s="66" t="n">
        <x:v>0</x:v>
      </x:c>
      <x:c r="G6" s="66" t="n">
        <x:f>E6-F6</x:f>
        <x:v>0</x:v>
      </x:c>
      <x:c r="H6" s="64" t="n">
        <x:f>IFERROR(MAXIFS(Sales!$B:$B,Sales!$C:$C,B6),"")</x:f>
        <x:v>0</x:v>
      </x:c>
      <x:c r="I6" s="50" t="str"/>
      <x:c r="J6" s="50"/>
      <x:c r="K6" s="50"/>
      <x:c r="L6" s="50"/>
      <x:c r="M6" s="50"/>
      <x:c r="N6" s="50"/>
      <x:c r="O6" s="50"/>
    </x:row>
    <x:row r="7">
      <x:c r="A7" s="50"/>
      <x:c r="B7" s="50"/>
      <x:c r="C7" s="50"/>
      <x:c r="D7" s="50"/>
      <x:c r="E7" s="66" t="n">
        <x:f>SUMIF(Sales!$C:$C,B7,Sales!$I:$I)</x:f>
        <x:v>0</x:v>
      </x:c>
      <x:c r="F7" s="66"/>
      <x:c r="G7" s="66" t="n">
        <x:f>E7-F7</x:f>
        <x:v>0</x:v>
      </x:c>
      <x:c r="H7" s="64" t="n">
        <x:f>IFERROR(MAXIFS(Sales!$B:$B,Sales!$C:$C,B7),"")</x:f>
        <x:v>0</x:v>
      </x:c>
      <x:c r="I7" s="50"/>
      <x:c r="J7" s="50"/>
      <x:c r="K7" s="50"/>
      <x:c r="L7" s="50"/>
      <x:c r="M7" s="50"/>
      <x:c r="N7" s="50"/>
      <x:c r="O7" s="50"/>
    </x:row>
    <x:row r="8">
      <x:c r="A8" s="50"/>
      <x:c r="B8" s="50"/>
      <x:c r="C8" s="50"/>
      <x:c r="D8" s="50"/>
      <x:c r="E8" s="66" t="n">
        <x:f>SUMIF(Sales!$C:$C,B8,Sales!$I:$I)</x:f>
        <x:v>0</x:v>
      </x:c>
      <x:c r="F8" s="66"/>
      <x:c r="G8" s="66" t="n">
        <x:f>E8-F8</x:f>
        <x:v>0</x:v>
      </x:c>
      <x:c r="H8" s="64" t="n">
        <x:f>IFERROR(MAXIFS(Sales!$B:$B,Sales!$C:$C,B8),"")</x:f>
        <x:v>0</x:v>
      </x:c>
      <x:c r="I8" s="50"/>
      <x:c r="J8" s="50"/>
      <x:c r="K8" s="50"/>
      <x:c r="L8" s="50"/>
      <x:c r="M8" s="50"/>
      <x:c r="N8" s="50"/>
      <x:c r="O8" s="50"/>
    </x:row>
    <x:row r="9">
      <x:c r="A9" s="50"/>
      <x:c r="B9" s="50"/>
      <x:c r="C9" s="50"/>
      <x:c r="D9" s="50"/>
      <x:c r="E9" s="66" t="n">
        <x:f>SUMIF(Sales!$C:$C,B9,Sales!$I:$I)</x:f>
        <x:v>0</x:v>
      </x:c>
      <x:c r="F9" s="66"/>
      <x:c r="G9" s="66" t="n">
        <x:f>E9-F9</x:f>
        <x:v>0</x:v>
      </x:c>
      <x:c r="H9" s="64" t="n">
        <x:f>IFERROR(MAXIFS(Sales!$B:$B,Sales!$C:$C,B9),"")</x:f>
        <x:v>0</x:v>
      </x:c>
      <x:c r="I9" s="50"/>
      <x:c r="J9" s="50"/>
      <x:c r="K9" s="50"/>
      <x:c r="L9" s="50"/>
      <x:c r="M9" s="50"/>
      <x:c r="N9" s="50"/>
      <x:c r="O9" s="50"/>
    </x:row>
    <x:row r="10">
      <x:c r="A10" s="50"/>
      <x:c r="B10" s="50"/>
      <x:c r="C10" s="50"/>
      <x:c r="D10" s="50"/>
      <x:c r="E10" s="66" t="n">
        <x:f>SUMIF(Sales!$C:$C,B10,Sales!$I:$I)</x:f>
        <x:v>0</x:v>
      </x:c>
      <x:c r="F10" s="66"/>
      <x:c r="G10" s="66" t="n">
        <x:f>E10-F10</x:f>
        <x:v>0</x:v>
      </x:c>
      <x:c r="H10" s="64" t="n">
        <x:f>IFERROR(MAXIFS(Sales!$B:$B,Sales!$C:$C,B10),"")</x:f>
        <x:v>0</x:v>
      </x:c>
      <x:c r="I10" s="50"/>
      <x:c r="J10" s="50"/>
      <x:c r="K10" s="50"/>
      <x:c r="L10" s="50"/>
      <x:c r="M10" s="50"/>
      <x:c r="N10" s="50"/>
      <x:c r="O10" s="50"/>
    </x:row>
    <x:row r="11">
      <x:c r="A11" s="50"/>
      <x:c r="B11" s="50"/>
      <x:c r="C11" s="50"/>
      <x:c r="D11" s="50"/>
      <x:c r="E11" s="66" t="n">
        <x:f>SUMIF(Sales!$C:$C,B11,Sales!$I:$I)</x:f>
        <x:v>0</x:v>
      </x:c>
      <x:c r="F11" s="66"/>
      <x:c r="G11" s="66" t="n">
        <x:f>E11-F11</x:f>
        <x:v>0</x:v>
      </x:c>
      <x:c r="H11" s="64" t="n">
        <x:f>IFERROR(MAXIFS(Sales!$B:$B,Sales!$C:$C,B11),"")</x:f>
        <x:v>0</x:v>
      </x:c>
      <x:c r="I11" s="50"/>
      <x:c r="J11" s="50"/>
      <x:c r="K11" s="50"/>
      <x:c r="L11" s="50"/>
      <x:c r="M11" s="50"/>
      <x:c r="N11" s="50"/>
      <x:c r="O11" s="50"/>
    </x:row>
    <x:row r="12">
      <x:c r="A12" s="50"/>
      <x:c r="B12" s="50"/>
      <x:c r="C12" s="50"/>
      <x:c r="D12" s="50"/>
      <x:c r="E12" s="66" t="n">
        <x:f>SUMIF(Sales!$C:$C,B12,Sales!$I:$I)</x:f>
        <x:v>0</x:v>
      </x:c>
      <x:c r="F12" s="66"/>
      <x:c r="G12" s="66" t="n">
        <x:f>E12-F12</x:f>
        <x:v>0</x:v>
      </x:c>
      <x:c r="H12" s="64" t="n">
        <x:f>IFERROR(MAXIFS(Sales!$B:$B,Sales!$C:$C,B12),"")</x:f>
        <x:v>0</x:v>
      </x:c>
      <x:c r="I12" s="50"/>
      <x:c r="J12" s="50"/>
      <x:c r="K12" s="50"/>
      <x:c r="L12" s="50"/>
      <x:c r="M12" s="50"/>
      <x:c r="N12" s="50"/>
      <x:c r="O12" s="50"/>
    </x:row>
    <x:row r="13">
      <x:c r="A13" s="50"/>
      <x:c r="B13" s="50"/>
      <x:c r="C13" s="50"/>
      <x:c r="D13" s="50"/>
      <x:c r="E13" s="66" t="n">
        <x:f>SUMIF(Sales!$C:$C,B13,Sales!$I:$I)</x:f>
        <x:v>0</x:v>
      </x:c>
      <x:c r="F13" s="66"/>
      <x:c r="G13" s="66" t="n">
        <x:f>E13-F13</x:f>
        <x:v>0</x:v>
      </x:c>
      <x:c r="H13" s="64" t="n">
        <x:f>IFERROR(MAXIFS(Sales!$B:$B,Sales!$C:$C,B13),"")</x:f>
        <x:v>0</x:v>
      </x:c>
      <x:c r="I13" s="50"/>
      <x:c r="J13" s="50"/>
      <x:c r="K13" s="50"/>
      <x:c r="L13" s="50"/>
      <x:c r="M13" s="50"/>
      <x:c r="N13" s="50"/>
      <x:c r="O13" s="50"/>
    </x:row>
    <x:row r="14">
      <x:c r="A14" s="50"/>
      <x:c r="B14" s="50"/>
      <x:c r="C14" s="50"/>
      <x:c r="D14" s="50"/>
      <x:c r="E14" s="66" t="n">
        <x:f>SUMIF(Sales!$C:$C,B14,Sales!$I:$I)</x:f>
        <x:v>0</x:v>
      </x:c>
      <x:c r="F14" s="66"/>
      <x:c r="G14" s="66" t="n">
        <x:f>E14-F14</x:f>
        <x:v>0</x:v>
      </x:c>
      <x:c r="H14" s="64" t="n">
        <x:f>IFERROR(MAXIFS(Sales!$B:$B,Sales!$C:$C,B14),"")</x:f>
        <x:v>0</x:v>
      </x:c>
      <x:c r="I14" s="50"/>
      <x:c r="J14" s="50"/>
      <x:c r="K14" s="50"/>
      <x:c r="L14" s="50"/>
      <x:c r="M14" s="50"/>
      <x:c r="N14" s="50"/>
      <x:c r="O14" s="50"/>
    </x:row>
    <x:row r="15">
      <x:c r="A15" s="50"/>
      <x:c r="B15" s="50"/>
      <x:c r="C15" s="50"/>
      <x:c r="D15" s="50"/>
      <x:c r="E15" s="66" t="n">
        <x:f>SUMIF(Sales!$C:$C,B15,Sales!$I:$I)</x:f>
        <x:v>0</x:v>
      </x:c>
      <x:c r="F15" s="66"/>
      <x:c r="G15" s="66" t="n">
        <x:f>E15-F15</x:f>
        <x:v>0</x:v>
      </x:c>
      <x:c r="H15" s="64" t="n">
        <x:f>IFERROR(MAXIFS(Sales!$B:$B,Sales!$C:$C,B15),"")</x:f>
        <x:v>0</x:v>
      </x:c>
      <x:c r="I15" s="50"/>
      <x:c r="J15" s="50"/>
      <x:c r="K15" s="50"/>
      <x:c r="L15" s="50"/>
      <x:c r="M15" s="50"/>
      <x:c r="N15" s="50"/>
      <x:c r="O15" s="50"/>
    </x:row>
    <x:row r="16">
      <x:c r="A16" s="50"/>
      <x:c r="B16" s="50"/>
      <x:c r="C16" s="50"/>
      <x:c r="D16" s="50"/>
      <x:c r="E16" s="66" t="n">
        <x:f>SUMIF(Sales!$C:$C,B16,Sales!$I:$I)</x:f>
        <x:v>0</x:v>
      </x:c>
      <x:c r="F16" s="66"/>
      <x:c r="G16" s="66" t="n">
        <x:f>E16-F16</x:f>
        <x:v>0</x:v>
      </x:c>
      <x:c r="H16" s="64" t="n">
        <x:f>IFERROR(MAXIFS(Sales!$B:$B,Sales!$C:$C,B16),"")</x:f>
        <x:v>0</x:v>
      </x:c>
      <x:c r="I16" s="50"/>
      <x:c r="J16" s="50"/>
      <x:c r="K16" s="50"/>
      <x:c r="L16" s="50"/>
      <x:c r="M16" s="50"/>
      <x:c r="N16" s="50"/>
      <x:c r="O16" s="50"/>
    </x:row>
    <x:row r="17">
      <x:c r="A17" s="50"/>
      <x:c r="B17" s="50"/>
      <x:c r="C17" s="50"/>
      <x:c r="D17" s="50"/>
      <x:c r="E17" s="66" t="n">
        <x:f>SUMIF(Sales!$C:$C,B17,Sales!$I:$I)</x:f>
        <x:v>0</x:v>
      </x:c>
      <x:c r="F17" s="66"/>
      <x:c r="G17" s="66" t="n">
        <x:f>E17-F17</x:f>
        <x:v>0</x:v>
      </x:c>
      <x:c r="H17" s="64" t="n">
        <x:f>IFERROR(MAXIFS(Sales!$B:$B,Sales!$C:$C,B17),"")</x:f>
        <x:v>0</x:v>
      </x:c>
      <x:c r="I17" s="50"/>
      <x:c r="J17" s="50"/>
      <x:c r="K17" s="50"/>
      <x:c r="L17" s="50"/>
      <x:c r="M17" s="50"/>
      <x:c r="N17" s="50"/>
      <x:c r="O17" s="50"/>
    </x:row>
    <x:row r="18">
      <x:c r="A18" s="50"/>
      <x:c r="B18" s="50"/>
      <x:c r="C18" s="50"/>
      <x:c r="D18" s="50"/>
      <x:c r="E18" s="66" t="n">
        <x:f>SUMIF(Sales!$C:$C,B18,Sales!$I:$I)</x:f>
        <x:v>0</x:v>
      </x:c>
      <x:c r="F18" s="66"/>
      <x:c r="G18" s="66" t="n">
        <x:f>E18-F18</x:f>
        <x:v>0</x:v>
      </x:c>
      <x:c r="H18" s="64" t="n">
        <x:f>IFERROR(MAXIFS(Sales!$B:$B,Sales!$C:$C,B18),"")</x:f>
        <x:v>0</x:v>
      </x:c>
      <x:c r="I18" s="50"/>
      <x:c r="J18" s="50"/>
      <x:c r="K18" s="50"/>
      <x:c r="L18" s="50"/>
      <x:c r="M18" s="50"/>
      <x:c r="N18" s="50"/>
      <x:c r="O18" s="50"/>
    </x:row>
    <x:row r="19">
      <x:c r="A19" s="50"/>
      <x:c r="B19" s="50"/>
      <x:c r="C19" s="50"/>
      <x:c r="D19" s="50"/>
      <x:c r="E19" s="66" t="n">
        <x:f>SUMIF(Sales!$C:$C,B19,Sales!$I:$I)</x:f>
        <x:v>0</x:v>
      </x:c>
      <x:c r="F19" s="66"/>
      <x:c r="G19" s="66" t="n">
        <x:f>E19-F19</x:f>
        <x:v>0</x:v>
      </x:c>
      <x:c r="H19" s="64" t="n">
        <x:f>IFERROR(MAXIFS(Sales!$B:$B,Sales!$C:$C,B19),"")</x:f>
        <x:v>0</x:v>
      </x:c>
      <x:c r="I19" s="50"/>
      <x:c r="J19" s="50"/>
      <x:c r="K19" s="50"/>
      <x:c r="L19" s="50"/>
      <x:c r="M19" s="50"/>
      <x:c r="N19" s="50"/>
      <x:c r="O19" s="50"/>
    </x:row>
    <x:row r="20">
      <x:c r="A20" s="50"/>
      <x:c r="B20" s="50"/>
      <x:c r="C20" s="50"/>
      <x:c r="D20" s="50"/>
      <x:c r="E20" s="66" t="n">
        <x:f>SUMIF(Sales!$C:$C,B20,Sales!$I:$I)</x:f>
        <x:v>0</x:v>
      </x:c>
      <x:c r="F20" s="66"/>
      <x:c r="G20" s="66" t="n">
        <x:f>E20-F20</x:f>
        <x:v>0</x:v>
      </x:c>
      <x:c r="H20" s="64" t="n">
        <x:f>IFERROR(MAXIFS(Sales!$B:$B,Sales!$C:$C,B20),"")</x:f>
        <x:v>0</x:v>
      </x:c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50"/>
      <x:c r="C21" s="50"/>
      <x:c r="D21" s="50"/>
      <x:c r="E21" s="66" t="n">
        <x:f>SUMIF(Sales!$C:$C,B21,Sales!$I:$I)</x:f>
        <x:v>0</x:v>
      </x:c>
      <x:c r="F21" s="66"/>
      <x:c r="G21" s="66" t="n">
        <x:f>E21-F21</x:f>
        <x:v>0</x:v>
      </x:c>
      <x:c r="H21" s="64" t="n">
        <x:f>IFERROR(MAXIFS(Sales!$B:$B,Sales!$C:$C,B21),"")</x:f>
        <x:v>0</x:v>
      </x:c>
      <x:c r="I21" s="50"/>
      <x:c r="J21" s="50"/>
      <x:c r="K21" s="50"/>
      <x:c r="L21" s="50"/>
      <x:c r="M21" s="50"/>
      <x:c r="N21" s="50"/>
      <x:c r="O21" s="50"/>
    </x:row>
    <x:row r="22">
      <x:c r="A22" s="50"/>
      <x:c r="B22" s="50"/>
      <x:c r="C22" s="50"/>
      <x:c r="D22" s="50"/>
      <x:c r="E22" s="66" t="n">
        <x:f>SUMIF(Sales!$C:$C,B22,Sales!$I:$I)</x:f>
        <x:v>0</x:v>
      </x:c>
      <x:c r="F22" s="66"/>
      <x:c r="G22" s="66" t="n">
        <x:f>E22-F22</x:f>
        <x:v>0</x:v>
      </x:c>
      <x:c r="H22" s="64" t="n">
        <x:f>IFERROR(MAXIFS(Sales!$B:$B,Sales!$C:$C,B22),"")</x:f>
        <x:v>0</x:v>
      </x:c>
      <x:c r="I22" s="50"/>
      <x:c r="J22" s="50"/>
      <x:c r="K22" s="50"/>
      <x:c r="L22" s="50"/>
      <x:c r="M22" s="50"/>
      <x:c r="N22" s="50"/>
      <x:c r="O22" s="50"/>
    </x:row>
    <x:row r="23">
      <x:c r="A23" s="50"/>
      <x:c r="B23" s="50"/>
      <x:c r="C23" s="50"/>
      <x:c r="D23" s="50"/>
      <x:c r="E23" s="66" t="n">
        <x:f>SUMIF(Sales!$C:$C,B23,Sales!$I:$I)</x:f>
        <x:v>0</x:v>
      </x:c>
      <x:c r="F23" s="66"/>
      <x:c r="G23" s="66" t="n">
        <x:f>E23-F23</x:f>
        <x:v>0</x:v>
      </x:c>
      <x:c r="H23" s="64" t="n">
        <x:f>IFERROR(MAXIFS(Sales!$B:$B,Sales!$C:$C,B23),"")</x:f>
        <x:v>0</x:v>
      </x:c>
      <x:c r="I23" s="50"/>
      <x:c r="J23" s="50"/>
      <x:c r="K23" s="50"/>
      <x:c r="L23" s="50"/>
      <x:c r="M23" s="50"/>
      <x:c r="N23" s="50"/>
      <x:c r="O23" s="50"/>
    </x:row>
    <x:row r="24">
      <x:c r="A24" s="50"/>
      <x:c r="B24" s="50"/>
      <x:c r="C24" s="50"/>
      <x:c r="D24" s="50"/>
      <x:c r="E24" s="66" t="n">
        <x:f>SUMIF(Sales!$C:$C,B24,Sales!$I:$I)</x:f>
        <x:v>0</x:v>
      </x:c>
      <x:c r="F24" s="66"/>
      <x:c r="G24" s="66" t="n">
        <x:f>E24-F24</x:f>
        <x:v>0</x:v>
      </x:c>
      <x:c r="H24" s="64" t="n">
        <x:f>IFERROR(MAXIFS(Sales!$B:$B,Sales!$C:$C,B24),"")</x:f>
        <x:v>0</x:v>
      </x:c>
      <x:c r="I24" s="50"/>
      <x:c r="J24" s="50"/>
      <x:c r="K24" s="50"/>
      <x:c r="L24" s="50"/>
      <x:c r="M24" s="50"/>
      <x:c r="N24" s="50"/>
      <x:c r="O24" s="50"/>
    </x:row>
    <x:row r="25">
      <x:c r="A25" s="50"/>
      <x:c r="B25" s="50"/>
      <x:c r="C25" s="50"/>
      <x:c r="D25" s="50"/>
      <x:c r="E25" s="66" t="n">
        <x:f>SUMIF(Sales!$C:$C,B25,Sales!$I:$I)</x:f>
        <x:v>0</x:v>
      </x:c>
      <x:c r="F25" s="66"/>
      <x:c r="G25" s="66" t="n">
        <x:f>E25-F25</x:f>
        <x:v>0</x:v>
      </x:c>
      <x:c r="H25" s="64" t="n">
        <x:f>IFERROR(MAXIFS(Sales!$B:$B,Sales!$C:$C,B25),"")</x:f>
        <x:v>0</x:v>
      </x:c>
      <x:c r="I25" s="50"/>
      <x:c r="J25" s="50"/>
      <x:c r="K25" s="50"/>
      <x:c r="L25" s="50"/>
      <x:c r="M25" s="50"/>
      <x:c r="N25" s="50"/>
      <x:c r="O25" s="50"/>
    </x:row>
    <x:row r="26">
      <x:c r="A26" s="50"/>
      <x:c r="B26" s="50"/>
      <x:c r="C26" s="50"/>
      <x:c r="D26" s="50"/>
      <x:c r="E26" s="66" t="n">
        <x:f>SUMIF(Sales!$C:$C,B26,Sales!$I:$I)</x:f>
        <x:v>0</x:v>
      </x:c>
      <x:c r="F26" s="66"/>
      <x:c r="G26" s="66" t="n">
        <x:f>E26-F26</x:f>
        <x:v>0</x:v>
      </x:c>
      <x:c r="H26" s="64" t="n">
        <x:f>IFERROR(MAXIFS(Sales!$B:$B,Sales!$C:$C,B26),"")</x:f>
        <x:v>0</x:v>
      </x:c>
      <x:c r="I26" s="50"/>
      <x:c r="J26" s="50"/>
      <x:c r="K26" s="50"/>
      <x:c r="L26" s="50"/>
      <x:c r="M26" s="50"/>
      <x:c r="N26" s="50"/>
      <x:c r="O26" s="50"/>
    </x:row>
    <x:row r="27">
      <x:c r="A27" s="50"/>
      <x:c r="B27" s="50"/>
      <x:c r="C27" s="50"/>
      <x:c r="D27" s="50"/>
      <x:c r="E27" s="66" t="n">
        <x:f>SUMIF(Sales!$C:$C,B27,Sales!$I:$I)</x:f>
        <x:v>0</x:v>
      </x:c>
      <x:c r="F27" s="66"/>
      <x:c r="G27" s="66" t="n">
        <x:f>E27-F27</x:f>
        <x:v>0</x:v>
      </x:c>
      <x:c r="H27" s="64" t="n">
        <x:f>IFERROR(MAXIFS(Sales!$B:$B,Sales!$C:$C,B27),"")</x:f>
        <x:v>0</x:v>
      </x:c>
      <x:c r="I27" s="50"/>
      <x:c r="J27" s="50"/>
      <x:c r="K27" s="50"/>
      <x:c r="L27" s="50"/>
      <x:c r="M27" s="50"/>
      <x:c r="N27" s="50"/>
      <x:c r="O27" s="50"/>
    </x:row>
    <x:row r="28">
      <x:c r="A28" s="50"/>
      <x:c r="B28" s="50"/>
      <x:c r="C28" s="50"/>
      <x:c r="D28" s="50"/>
      <x:c r="E28" s="66" t="n">
        <x:f>SUMIF(Sales!$C:$C,B28,Sales!$I:$I)</x:f>
        <x:v>0</x:v>
      </x:c>
      <x:c r="F28" s="66"/>
      <x:c r="G28" s="66" t="n">
        <x:f>E28-F28</x:f>
        <x:v>0</x:v>
      </x:c>
      <x:c r="H28" s="64" t="n">
        <x:f>IFERROR(MAXIFS(Sales!$B:$B,Sales!$C:$C,B28),"")</x:f>
        <x:v>0</x:v>
      </x:c>
      <x:c r="I28" s="50"/>
      <x:c r="J28" s="50"/>
      <x:c r="K28" s="50"/>
      <x:c r="L28" s="50"/>
      <x:c r="M28" s="50"/>
      <x:c r="N28" s="50"/>
      <x:c r="O28" s="50"/>
    </x:row>
    <x:row r="29">
      <x:c r="A29" s="50"/>
      <x:c r="B29" s="50"/>
      <x:c r="C29" s="50"/>
      <x:c r="D29" s="50"/>
      <x:c r="E29" s="66" t="n">
        <x:f>SUMIF(Sales!$C:$C,B29,Sales!$I:$I)</x:f>
        <x:v>0</x:v>
      </x:c>
      <x:c r="F29" s="66"/>
      <x:c r="G29" s="66" t="n">
        <x:f>E29-F29</x:f>
        <x:v>0</x:v>
      </x:c>
      <x:c r="H29" s="64" t="n">
        <x:f>IFERROR(MAXIFS(Sales!$B:$B,Sales!$C:$C,B29),"")</x:f>
        <x:v>0</x:v>
      </x:c>
      <x:c r="I29" s="50"/>
      <x:c r="J29" s="50"/>
      <x:c r="K29" s="50"/>
      <x:c r="L29" s="50"/>
      <x:c r="M29" s="50"/>
      <x:c r="N29" s="50"/>
      <x:c r="O29" s="50"/>
    </x:row>
    <x:row r="30">
      <x:c r="A30" s="50"/>
      <x:c r="B30" s="50"/>
      <x:c r="C30" s="50"/>
      <x:c r="D30" s="50"/>
      <x:c r="E30" s="66" t="n">
        <x:f>SUMIF(Sales!$C:$C,B30,Sales!$I:$I)</x:f>
        <x:v>0</x:v>
      </x:c>
      <x:c r="F30" s="66"/>
      <x:c r="G30" s="66" t="n">
        <x:f>E30-F30</x:f>
        <x:v>0</x:v>
      </x:c>
      <x:c r="H30" s="64" t="n">
        <x:f>IFERROR(MAXIFS(Sales!$B:$B,Sales!$C:$C,B30),"")</x:f>
        <x:v>0</x:v>
      </x:c>
      <x:c r="I30" s="50"/>
      <x:c r="J30" s="50"/>
      <x:c r="K30" s="50"/>
      <x:c r="L30" s="50"/>
      <x:c r="M30" s="50"/>
      <x:c r="N30" s="50"/>
      <x:c r="O30" s="50"/>
    </x:row>
    <x:row r="31">
      <x:c r="A31" s="50"/>
      <x:c r="B31" s="50"/>
      <x:c r="C31" s="50"/>
      <x:c r="D31" s="50"/>
      <x:c r="E31" s="66" t="n">
        <x:f>SUMIF(Sales!$C:$C,B31,Sales!$I:$I)</x:f>
        <x:v>0</x:v>
      </x:c>
      <x:c r="F31" s="66"/>
      <x:c r="G31" s="66" t="n">
        <x:f>E31-F31</x:f>
        <x:v>0</x:v>
      </x:c>
      <x:c r="H31" s="64" t="n">
        <x:f>IFERROR(MAXIFS(Sales!$B:$B,Sales!$C:$C,B31),"")</x:f>
        <x:v>0</x:v>
      </x:c>
      <x:c r="I31" s="50"/>
      <x:c r="J31" s="50"/>
      <x:c r="K31" s="50"/>
      <x:c r="L31" s="50"/>
      <x:c r="M31" s="50"/>
      <x:c r="N31" s="50"/>
      <x:c r="O31" s="50"/>
    </x:row>
    <x:row r="32">
      <x:c r="A32" s="50"/>
      <x:c r="B32" s="50"/>
      <x:c r="C32" s="50"/>
      <x:c r="D32" s="50"/>
      <x:c r="E32" s="66" t="n">
        <x:f>SUMIF(Sales!$C:$C,B32,Sales!$I:$I)</x:f>
        <x:v>0</x:v>
      </x:c>
      <x:c r="F32" s="66"/>
      <x:c r="G32" s="66" t="n">
        <x:f>E32-F32</x:f>
        <x:v>0</x:v>
      </x:c>
      <x:c r="H32" s="64" t="n">
        <x:f>IFERROR(MAXIFS(Sales!$B:$B,Sales!$C:$C,B32),"")</x:f>
        <x:v>0</x:v>
      </x:c>
      <x:c r="I32" s="50"/>
      <x:c r="J32" s="50"/>
      <x:c r="K32" s="50"/>
      <x:c r="L32" s="50"/>
      <x:c r="M32" s="50"/>
      <x:c r="N32" s="50"/>
      <x:c r="O32" s="50"/>
    </x:row>
    <x:row r="33">
      <x:c r="A33" s="50"/>
      <x:c r="B33" s="50"/>
      <x:c r="C33" s="50"/>
      <x:c r="D33" s="50"/>
      <x:c r="E33" s="66" t="n">
        <x:f>SUMIF(Sales!$C:$C,B33,Sales!$I:$I)</x:f>
        <x:v>0</x:v>
      </x:c>
      <x:c r="F33" s="66"/>
      <x:c r="G33" s="66" t="n">
        <x:f>E33-F33</x:f>
        <x:v>0</x:v>
      </x:c>
      <x:c r="H33" s="64" t="n">
        <x:f>IFERROR(MAXIFS(Sales!$B:$B,Sales!$C:$C,B33),"")</x:f>
        <x:v>0</x:v>
      </x:c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50"/>
      <x:c r="C34" s="50"/>
      <x:c r="D34" s="50"/>
      <x:c r="E34" s="66" t="n">
        <x:f>SUMIF(Sales!$C:$C,B34,Sales!$I:$I)</x:f>
        <x:v>0</x:v>
      </x:c>
      <x:c r="F34" s="66"/>
      <x:c r="G34" s="66" t="n">
        <x:f>E34-F34</x:f>
        <x:v>0</x:v>
      </x:c>
      <x:c r="H34" s="64" t="n">
        <x:f>IFERROR(MAXIFS(Sales!$B:$B,Sales!$C:$C,B34),"")</x:f>
        <x:v>0</x:v>
      </x:c>
      <x:c r="I34" s="50"/>
      <x:c r="J34" s="50"/>
      <x:c r="K34" s="50"/>
      <x:c r="L34" s="50"/>
      <x:c r="M34" s="50"/>
      <x:c r="N34" s="50"/>
      <x:c r="O34" s="50"/>
    </x:row>
    <x:row r="35">
      <x:c r="A35" s="50"/>
      <x:c r="B35" s="50"/>
      <x:c r="C35" s="50"/>
      <x:c r="D35" s="50"/>
      <x:c r="E35" s="66" t="n">
        <x:f>SUMIF(Sales!$C:$C,B35,Sales!$I:$I)</x:f>
        <x:v>0</x:v>
      </x:c>
      <x:c r="F35" s="66"/>
      <x:c r="G35" s="66" t="n">
        <x:f>E35-F35</x:f>
        <x:v>0</x:v>
      </x:c>
      <x:c r="H35" s="64" t="n">
        <x:f>IFERROR(MAXIFS(Sales!$B:$B,Sales!$C:$C,B35),"")</x:f>
        <x:v>0</x:v>
      </x:c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50"/>
      <x:c r="C36" s="50"/>
      <x:c r="D36" s="50"/>
      <x:c r="E36" s="66" t="n">
        <x:f>SUMIF(Sales!$C:$C,B36,Sales!$I:$I)</x:f>
        <x:v>0</x:v>
      </x:c>
      <x:c r="F36" s="66"/>
      <x:c r="G36" s="66" t="n">
        <x:f>E36-F36</x:f>
        <x:v>0</x:v>
      </x:c>
      <x:c r="H36" s="64" t="n">
        <x:f>IFERROR(MAXIFS(Sales!$B:$B,Sales!$C:$C,B36),"")</x:f>
        <x:v>0</x:v>
      </x:c>
      <x:c r="I36" s="50"/>
      <x:c r="J36" s="50"/>
      <x:c r="K36" s="50"/>
      <x:c r="L36" s="50"/>
      <x:c r="M36" s="50"/>
      <x:c r="N36" s="50"/>
      <x:c r="O36" s="50"/>
    </x:row>
    <x:row r="37">
      <x:c r="A37" s="50"/>
      <x:c r="B37" s="50"/>
      <x:c r="C37" s="50"/>
      <x:c r="D37" s="50"/>
      <x:c r="E37" s="66" t="n">
        <x:f>SUMIF(Sales!$C:$C,B37,Sales!$I:$I)</x:f>
        <x:v>0</x:v>
      </x:c>
      <x:c r="F37" s="66"/>
      <x:c r="G37" s="66" t="n">
        <x:f>E37-F37</x:f>
        <x:v>0</x:v>
      </x:c>
      <x:c r="H37" s="64" t="n">
        <x:f>IFERROR(MAXIFS(Sales!$B:$B,Sales!$C:$C,B37),"")</x:f>
        <x:v>0</x:v>
      </x:c>
      <x:c r="I37" s="50"/>
      <x:c r="J37" s="50"/>
      <x:c r="K37" s="50"/>
      <x:c r="L37" s="50"/>
      <x:c r="M37" s="50"/>
      <x:c r="N37" s="50"/>
      <x:c r="O37" s="50"/>
    </x:row>
    <x:row r="38">
      <x:c r="A38" s="50"/>
      <x:c r="B38" s="50"/>
      <x:c r="C38" s="50"/>
      <x:c r="D38" s="50"/>
      <x:c r="E38" s="66" t="n">
        <x:f>SUMIF(Sales!$C:$C,B38,Sales!$I:$I)</x:f>
        <x:v>0</x:v>
      </x:c>
      <x:c r="F38" s="66"/>
      <x:c r="G38" s="66" t="n">
        <x:f>E38-F38</x:f>
        <x:v>0</x:v>
      </x:c>
      <x:c r="H38" s="64" t="n">
        <x:f>IFERROR(MAXIFS(Sales!$B:$B,Sales!$C:$C,B38),"")</x:f>
        <x:v>0</x:v>
      </x:c>
      <x:c r="I38" s="50"/>
      <x:c r="J38" s="50"/>
      <x:c r="K38" s="50"/>
      <x:c r="L38" s="50"/>
      <x:c r="M38" s="50"/>
      <x:c r="N38" s="50"/>
      <x:c r="O38" s="50"/>
    </x:row>
    <x:row r="39">
      <x:c r="A39" s="50"/>
      <x:c r="B39" s="50"/>
      <x:c r="C39" s="50"/>
      <x:c r="D39" s="50"/>
      <x:c r="E39" s="66" t="n">
        <x:f>SUMIF(Sales!$C:$C,B39,Sales!$I:$I)</x:f>
        <x:v>0</x:v>
      </x:c>
      <x:c r="F39" s="66"/>
      <x:c r="G39" s="66" t="n">
        <x:f>E39-F39</x:f>
        <x:v>0</x:v>
      </x:c>
      <x:c r="H39" s="64" t="n">
        <x:f>IFERROR(MAXIFS(Sales!$B:$B,Sales!$C:$C,B39),"")</x:f>
        <x:v>0</x:v>
      </x:c>
      <x:c r="I39" s="50"/>
      <x:c r="J39" s="50"/>
      <x:c r="K39" s="50"/>
      <x:c r="L39" s="50"/>
      <x:c r="M39" s="50"/>
      <x:c r="N39" s="50"/>
      <x:c r="O39" s="50"/>
    </x:row>
    <x:row r="40">
      <x:c r="A40" s="50"/>
      <x:c r="B40" s="50"/>
      <x:c r="C40" s="50"/>
      <x:c r="D40" s="50"/>
      <x:c r="E40" s="66" t="n">
        <x:f>SUMIF(Sales!$C:$C,B40,Sales!$I:$I)</x:f>
        <x:v>0</x:v>
      </x:c>
      <x:c r="F40" s="66"/>
      <x:c r="G40" s="66" t="n">
        <x:f>E40-F40</x:f>
        <x:v>0</x:v>
      </x:c>
      <x:c r="H40" s="64" t="n">
        <x:f>IFERROR(MAXIFS(Sales!$B:$B,Sales!$C:$C,B40),"")</x:f>
        <x:v>0</x:v>
      </x:c>
      <x:c r="I40" s="50"/>
      <x:c r="J40" s="50"/>
      <x:c r="K40" s="50"/>
      <x:c r="L40" s="50"/>
      <x:c r="M40" s="50"/>
      <x:c r="N40" s="50"/>
      <x:c r="O40" s="50"/>
    </x:row>
    <x:row r="41">
      <x:c r="A41" s="50"/>
      <x:c r="B41" s="50"/>
      <x:c r="C41" s="50"/>
      <x:c r="D41" s="50"/>
      <x:c r="E41" s="66" t="n">
        <x:f>SUMIF(Sales!$C:$C,B41,Sales!$I:$I)</x:f>
        <x:v>0</x:v>
      </x:c>
      <x:c r="F41" s="66"/>
      <x:c r="G41" s="66" t="n">
        <x:f>E41-F41</x:f>
        <x:v>0</x:v>
      </x:c>
      <x:c r="H41" s="64" t="n">
        <x:f>IFERROR(MAXIFS(Sales!$B:$B,Sales!$C:$C,B41),"")</x:f>
        <x:v>0</x:v>
      </x:c>
      <x:c r="I41" s="50"/>
      <x:c r="J41" s="50"/>
      <x:c r="K41" s="50"/>
      <x:c r="L41" s="50"/>
      <x:c r="M41" s="50"/>
      <x:c r="N41" s="50"/>
      <x:c r="O41" s="50"/>
    </x:row>
    <x:row r="42">
      <x:c r="A42" s="50"/>
      <x:c r="B42" s="50"/>
      <x:c r="C42" s="50"/>
      <x:c r="D42" s="50"/>
      <x:c r="E42" s="66" t="n">
        <x:f>SUMIF(Sales!$C:$C,B42,Sales!$I:$I)</x:f>
        <x:v>0</x:v>
      </x:c>
      <x:c r="F42" s="66"/>
      <x:c r="G42" s="66" t="n">
        <x:f>E42-F42</x:f>
        <x:v>0</x:v>
      </x:c>
      <x:c r="H42" s="64" t="n">
        <x:f>IFERROR(MAXIFS(Sales!$B:$B,Sales!$C:$C,B42),"")</x:f>
        <x:v>0</x:v>
      </x:c>
      <x:c r="I42" s="50"/>
      <x:c r="J42" s="50"/>
      <x:c r="K42" s="50"/>
      <x:c r="L42" s="50"/>
      <x:c r="M42" s="50"/>
      <x:c r="N42" s="50"/>
      <x:c r="O42" s="50"/>
    </x:row>
    <x:row r="43">
      <x:c r="A43" s="50"/>
      <x:c r="B43" s="50"/>
      <x:c r="C43" s="50"/>
      <x:c r="D43" s="50"/>
      <x:c r="E43" s="66" t="n">
        <x:f>SUMIF(Sales!$C:$C,B43,Sales!$I:$I)</x:f>
        <x:v>0</x:v>
      </x:c>
      <x:c r="F43" s="66"/>
      <x:c r="G43" s="66" t="n">
        <x:f>E43-F43</x:f>
        <x:v>0</x:v>
      </x:c>
      <x:c r="H43" s="64" t="n">
        <x:f>IFERROR(MAXIFS(Sales!$B:$B,Sales!$C:$C,B43),"")</x:f>
        <x:v>0</x:v>
      </x:c>
      <x:c r="I43" s="50"/>
      <x:c r="J43" s="50"/>
      <x:c r="K43" s="50"/>
      <x:c r="L43" s="50"/>
      <x:c r="M43" s="50"/>
      <x:c r="N43" s="50"/>
      <x:c r="O43" s="50"/>
    </x:row>
    <x:row r="44">
      <x:c r="A44" s="50"/>
      <x:c r="B44" s="50"/>
      <x:c r="C44" s="50"/>
      <x:c r="D44" s="50"/>
      <x:c r="E44" s="66" t="n">
        <x:f>SUMIF(Sales!$C:$C,B44,Sales!$I:$I)</x:f>
        <x:v>0</x:v>
      </x:c>
      <x:c r="F44" s="66"/>
      <x:c r="G44" s="66" t="n">
        <x:f>E44-F44</x:f>
        <x:v>0</x:v>
      </x:c>
      <x:c r="H44" s="64" t="n">
        <x:f>IFERROR(MAXIFS(Sales!$B:$B,Sales!$C:$C,B44),"")</x:f>
        <x:v>0</x:v>
      </x:c>
      <x:c r="I44" s="50"/>
      <x:c r="J44" s="50"/>
      <x:c r="K44" s="50"/>
      <x:c r="L44" s="50"/>
      <x:c r="M44" s="50"/>
      <x:c r="N44" s="50"/>
      <x:c r="O44" s="50"/>
    </x:row>
    <x:row r="45">
      <x:c r="A45" s="50"/>
      <x:c r="B45" s="50"/>
      <x:c r="C45" s="50"/>
      <x:c r="D45" s="50"/>
      <x:c r="E45" s="66" t="n">
        <x:f>SUMIF(Sales!$C:$C,B45,Sales!$I:$I)</x:f>
        <x:v>0</x:v>
      </x:c>
      <x:c r="F45" s="66"/>
      <x:c r="G45" s="66" t="n">
        <x:f>E45-F45</x:f>
        <x:v>0</x:v>
      </x:c>
      <x:c r="H45" s="64" t="n">
        <x:f>IFERROR(MAXIFS(Sales!$B:$B,Sales!$C:$C,B45),"")</x:f>
        <x:v>0</x:v>
      </x:c>
      <x:c r="I45" s="50"/>
      <x:c r="J45" s="50"/>
      <x:c r="K45" s="50"/>
      <x:c r="L45" s="50"/>
      <x:c r="M45" s="50"/>
      <x:c r="N45" s="50"/>
      <x:c r="O45" s="50"/>
    </x:row>
    <x:row r="46">
      <x:c r="A46" s="50"/>
      <x:c r="B46" s="50"/>
      <x:c r="C46" s="50"/>
      <x:c r="D46" s="50"/>
      <x:c r="E46" s="66" t="n">
        <x:f>SUMIF(Sales!$C:$C,B46,Sales!$I:$I)</x:f>
        <x:v>0</x:v>
      </x:c>
      <x:c r="F46" s="66"/>
      <x:c r="G46" s="66" t="n">
        <x:f>E46-F46</x:f>
        <x:v>0</x:v>
      </x:c>
      <x:c r="H46" s="64" t="n">
        <x:f>IFERROR(MAXIFS(Sales!$B:$B,Sales!$C:$C,B46),"")</x:f>
        <x:v>0</x:v>
      </x:c>
      <x:c r="I46" s="50"/>
      <x:c r="J46" s="50"/>
      <x:c r="K46" s="50"/>
      <x:c r="L46" s="50"/>
      <x:c r="M46" s="50"/>
      <x:c r="N46" s="50"/>
      <x:c r="O46" s="50"/>
    </x:row>
    <x:row r="47">
      <x:c r="A47" s="50"/>
      <x:c r="B47" s="50"/>
      <x:c r="C47" s="50"/>
      <x:c r="D47" s="50"/>
      <x:c r="E47" s="66" t="n">
        <x:f>SUMIF(Sales!$C:$C,B47,Sales!$I:$I)</x:f>
        <x:v>0</x:v>
      </x:c>
      <x:c r="F47" s="66"/>
      <x:c r="G47" s="66" t="n">
        <x:f>E47-F47</x:f>
        <x:v>0</x:v>
      </x:c>
      <x:c r="H47" s="64" t="n">
        <x:f>IFERROR(MAXIFS(Sales!$B:$B,Sales!$C:$C,B47),"")</x:f>
        <x:v>0</x:v>
      </x:c>
      <x:c r="I47" s="50"/>
      <x:c r="J47" s="50"/>
      <x:c r="K47" s="50"/>
      <x:c r="L47" s="50"/>
      <x:c r="M47" s="50"/>
      <x:c r="N47" s="50"/>
      <x:c r="O47" s="50"/>
    </x:row>
    <x:row r="48">
      <x:c r="A48" s="50"/>
      <x:c r="B48" s="50"/>
      <x:c r="C48" s="50"/>
      <x:c r="D48" s="50"/>
      <x:c r="E48" s="66" t="n">
        <x:f>SUMIF(Sales!$C:$C,B48,Sales!$I:$I)</x:f>
        <x:v>0</x:v>
      </x:c>
      <x:c r="F48" s="66"/>
      <x:c r="G48" s="66" t="n">
        <x:f>E48-F48</x:f>
        <x:v>0</x:v>
      </x:c>
      <x:c r="H48" s="64" t="n">
        <x:f>IFERROR(MAXIFS(Sales!$B:$B,Sales!$C:$C,B48),"")</x:f>
        <x:v>0</x:v>
      </x:c>
      <x:c r="I48" s="50"/>
      <x:c r="J48" s="50"/>
      <x:c r="K48" s="50"/>
      <x:c r="L48" s="50"/>
      <x:c r="M48" s="50"/>
      <x:c r="N48" s="50"/>
      <x:c r="O48" s="50"/>
    </x:row>
    <x:row r="49">
      <x:c r="A49" s="50"/>
      <x:c r="B49" s="50"/>
      <x:c r="C49" s="50"/>
      <x:c r="D49" s="50"/>
      <x:c r="E49" s="66" t="n">
        <x:f>SUMIF(Sales!$C:$C,B49,Sales!$I:$I)</x:f>
        <x:v>0</x:v>
      </x:c>
      <x:c r="F49" s="66"/>
      <x:c r="G49" s="66" t="n">
        <x:f>E49-F49</x:f>
        <x:v>0</x:v>
      </x:c>
      <x:c r="H49" s="64" t="n">
        <x:f>IFERROR(MAXIFS(Sales!$B:$B,Sales!$C:$C,B49),"")</x:f>
        <x:v>0</x:v>
      </x:c>
      <x:c r="I49" s="50"/>
      <x:c r="J49" s="50"/>
      <x:c r="K49" s="50"/>
      <x:c r="L49" s="50"/>
      <x:c r="M49" s="50"/>
      <x:c r="N49" s="50"/>
      <x:c r="O49" s="50"/>
    </x:row>
    <x:row r="50">
      <x:c r="A50" s="50"/>
      <x:c r="B50" s="50"/>
      <x:c r="C50" s="50"/>
      <x:c r="D50" s="50"/>
      <x:c r="E50" s="66" t="n">
        <x:f>SUMIF(Sales!$C:$C,B50,Sales!$I:$I)</x:f>
        <x:v>0</x:v>
      </x:c>
      <x:c r="F50" s="66"/>
      <x:c r="G50" s="66" t="n">
        <x:f>E50-F50</x:f>
        <x:v>0</x:v>
      </x:c>
      <x:c r="H50" s="64" t="n">
        <x:f>IFERROR(MAXIFS(Sales!$B:$B,Sales!$C:$C,B50),"")</x:f>
        <x:v>0</x:v>
      </x:c>
      <x:c r="I50" s="50"/>
      <x:c r="J50" s="50"/>
      <x:c r="K50" s="50"/>
      <x:c r="L50" s="50"/>
      <x:c r="M50" s="50"/>
      <x:c r="N50" s="50"/>
      <x:c r="O50" s="50"/>
    </x:row>
    <x:row r="51">
      <x:c r="A51" s="50"/>
      <x:c r="B51" s="50"/>
      <x:c r="C51" s="50"/>
      <x:c r="D51" s="50"/>
      <x:c r="E51" s="66" t="n">
        <x:f>SUMIF(Sales!$C:$C,B51,Sales!$I:$I)</x:f>
        <x:v>0</x:v>
      </x:c>
      <x:c r="F51" s="66"/>
      <x:c r="G51" s="66" t="n">
        <x:f>E51-F51</x:f>
        <x:v>0</x:v>
      </x:c>
      <x:c r="H51" s="64" t="n">
        <x:f>IFERROR(MAXIFS(Sales!$B:$B,Sales!$C:$C,B51),"")</x:f>
        <x:v>0</x:v>
      </x:c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50"/>
      <x:c r="C52" s="50"/>
      <x:c r="D52" s="50"/>
      <x:c r="E52" s="66" t="n">
        <x:f>SUMIF(Sales!$C:$C,B52,Sales!$I:$I)</x:f>
        <x:v>0</x:v>
      </x:c>
      <x:c r="F52" s="66"/>
      <x:c r="G52" s="66" t="n">
        <x:f>E52-F52</x:f>
        <x:v>0</x:v>
      </x:c>
      <x:c r="H52" s="64" t="n">
        <x:f>IFERROR(MAXIFS(Sales!$B:$B,Sales!$C:$C,B52),"")</x:f>
        <x:v>0</x:v>
      </x:c>
      <x:c r="I52" s="50"/>
      <x:c r="J52" s="50"/>
      <x:c r="K52" s="50"/>
      <x:c r="L52" s="50"/>
      <x:c r="M52" s="50"/>
      <x:c r="N52" s="50"/>
      <x:c r="O52" s="50"/>
    </x:row>
    <x:row r="53">
      <x:c r="A53" s="50"/>
      <x:c r="B53" s="50"/>
      <x:c r="C53" s="50"/>
      <x:c r="D53" s="50"/>
      <x:c r="E53" s="66" t="n">
        <x:f>SUMIF(Sales!$C:$C,B53,Sales!$I:$I)</x:f>
        <x:v>0</x:v>
      </x:c>
      <x:c r="F53" s="66"/>
      <x:c r="G53" s="66" t="n">
        <x:f>E53-F53</x:f>
        <x:v>0</x:v>
      </x:c>
      <x:c r="H53" s="64" t="n">
        <x:f>IFERROR(MAXIFS(Sales!$B:$B,Sales!$C:$C,B53),"")</x:f>
        <x:v>0</x:v>
      </x:c>
      <x:c r="I53" s="50"/>
      <x:c r="J53" s="50"/>
      <x:c r="K53" s="50"/>
      <x:c r="L53" s="50"/>
      <x:c r="M53" s="50"/>
      <x:c r="N53" s="50"/>
      <x:c r="O53" s="50"/>
    </x:row>
    <x:row r="54">
      <x:c r="A54" s="50"/>
      <x:c r="B54" s="50"/>
      <x:c r="C54" s="50"/>
      <x:c r="D54" s="50"/>
      <x:c r="E54" s="66" t="n">
        <x:f>SUMIF(Sales!$C:$C,B54,Sales!$I:$I)</x:f>
        <x:v>0</x:v>
      </x:c>
      <x:c r="F54" s="66"/>
      <x:c r="G54" s="66" t="n">
        <x:f>E54-F54</x:f>
        <x:v>0</x:v>
      </x:c>
      <x:c r="H54" s="64" t="n">
        <x:f>IFERROR(MAXIFS(Sales!$B:$B,Sales!$C:$C,B54),"")</x:f>
        <x:v>0</x:v>
      </x:c>
      <x:c r="I54" s="50"/>
      <x:c r="J54" s="50"/>
      <x:c r="K54" s="50"/>
      <x:c r="L54" s="50"/>
      <x:c r="M54" s="50"/>
      <x:c r="N54" s="50"/>
      <x:c r="O54" s="50"/>
    </x:row>
    <x:row r="55">
      <x:c r="A55" s="50"/>
      <x:c r="B55" s="50"/>
      <x:c r="C55" s="50"/>
      <x:c r="D55" s="50"/>
      <x:c r="E55" s="66" t="n">
        <x:f>SUMIF(Sales!$C:$C,B55,Sales!$I:$I)</x:f>
        <x:v>0</x:v>
      </x:c>
      <x:c r="F55" s="66"/>
      <x:c r="G55" s="66" t="n">
        <x:f>E55-F55</x:f>
        <x:v>0</x:v>
      </x:c>
      <x:c r="H55" s="64" t="n">
        <x:f>IFERROR(MAXIFS(Sales!$B:$B,Sales!$C:$C,B55),"")</x:f>
        <x:v>0</x:v>
      </x:c>
      <x:c r="I55" s="50"/>
      <x:c r="J55" s="50"/>
      <x:c r="K55" s="50"/>
      <x:c r="L55" s="50"/>
      <x:c r="M55" s="50"/>
      <x:c r="N55" s="50"/>
      <x:c r="O55" s="50"/>
    </x:row>
    <x:row r="56">
      <x:c r="A56" s="50"/>
      <x:c r="B56" s="50"/>
      <x:c r="C56" s="50"/>
      <x:c r="D56" s="50"/>
      <x:c r="E56" s="66" t="n">
        <x:f>SUMIF(Sales!$C:$C,B56,Sales!$I:$I)</x:f>
        <x:v>0</x:v>
      </x:c>
      <x:c r="F56" s="66"/>
      <x:c r="G56" s="66" t="n">
        <x:f>E56-F56</x:f>
        <x:v>0</x:v>
      </x:c>
      <x:c r="H56" s="64" t="n">
        <x:f>IFERROR(MAXIFS(Sales!$B:$B,Sales!$C:$C,B56),"")</x:f>
        <x:v>0</x:v>
      </x:c>
      <x:c r="I56" s="50"/>
      <x:c r="J56" s="50"/>
      <x:c r="K56" s="50"/>
      <x:c r="L56" s="50"/>
      <x:c r="M56" s="50"/>
      <x:c r="N56" s="50"/>
      <x:c r="O56" s="50"/>
    </x:row>
    <x:row r="57">
      <x:c r="A57" s="50"/>
      <x:c r="B57" s="50"/>
      <x:c r="C57" s="50"/>
      <x:c r="D57" s="50"/>
      <x:c r="E57" s="66" t="n">
        <x:f>SUMIF(Sales!$C:$C,B57,Sales!$I:$I)</x:f>
        <x:v>0</x:v>
      </x:c>
      <x:c r="F57" s="66"/>
      <x:c r="G57" s="66" t="n">
        <x:f>E57-F57</x:f>
        <x:v>0</x:v>
      </x:c>
      <x:c r="H57" s="64" t="n">
        <x:f>IFERROR(MAXIFS(Sales!$B:$B,Sales!$C:$C,B57),"")</x:f>
        <x:v>0</x:v>
      </x:c>
      <x:c r="I57" s="50"/>
      <x:c r="J57" s="50"/>
      <x:c r="K57" s="50"/>
      <x:c r="L57" s="50"/>
      <x:c r="M57" s="50"/>
      <x:c r="N57" s="50"/>
      <x:c r="O57" s="50"/>
    </x:row>
    <x:row r="58">
      <x:c r="A58" s="50"/>
      <x:c r="B58" s="50"/>
      <x:c r="C58" s="50"/>
      <x:c r="D58" s="50"/>
      <x:c r="E58" s="66" t="n">
        <x:f>SUMIF(Sales!$C:$C,B58,Sales!$I:$I)</x:f>
        <x:v>0</x:v>
      </x:c>
      <x:c r="F58" s="66"/>
      <x:c r="G58" s="66" t="n">
        <x:f>E58-F58</x:f>
        <x:v>0</x:v>
      </x:c>
      <x:c r="H58" s="64" t="n">
        <x:f>IFERROR(MAXIFS(Sales!$B:$B,Sales!$C:$C,B58),"")</x:f>
        <x:v>0</x:v>
      </x:c>
      <x:c r="I58" s="50"/>
      <x:c r="J58" s="50"/>
      <x:c r="K58" s="50"/>
      <x:c r="L58" s="50"/>
      <x:c r="M58" s="50"/>
      <x:c r="N58" s="50"/>
      <x:c r="O58" s="50"/>
    </x:row>
    <x:row r="59">
      <x:c r="A59" s="50"/>
      <x:c r="B59" s="50"/>
      <x:c r="C59" s="50"/>
      <x:c r="D59" s="50"/>
      <x:c r="E59" s="66" t="n">
        <x:f>SUMIF(Sales!$C:$C,B59,Sales!$I:$I)</x:f>
        <x:v>0</x:v>
      </x:c>
      <x:c r="F59" s="66"/>
      <x:c r="G59" s="66" t="n">
        <x:f>E59-F59</x:f>
        <x:v>0</x:v>
      </x:c>
      <x:c r="H59" s="64" t="n">
        <x:f>IFERROR(MAXIFS(Sales!$B:$B,Sales!$C:$C,B59),"")</x:f>
        <x:v>0</x:v>
      </x:c>
      <x:c r="I59" s="50"/>
      <x:c r="J59" s="50"/>
      <x:c r="K59" s="50"/>
      <x:c r="L59" s="50"/>
      <x:c r="M59" s="50"/>
      <x:c r="N59" s="50"/>
      <x:c r="O59" s="50"/>
    </x:row>
    <x:row r="60">
      <x:c r="A60" s="50"/>
      <x:c r="B60" s="50"/>
      <x:c r="C60" s="50"/>
      <x:c r="D60" s="50"/>
      <x:c r="E60" s="66" t="n">
        <x:f>SUMIF(Sales!$C:$C,B60,Sales!$I:$I)</x:f>
        <x:v>0</x:v>
      </x:c>
      <x:c r="F60" s="66"/>
      <x:c r="G60" s="66" t="n">
        <x:f>E60-F60</x:f>
        <x:v>0</x:v>
      </x:c>
      <x:c r="H60" s="64" t="n">
        <x:f>IFERROR(MAXIFS(Sales!$B:$B,Sales!$C:$C,B60),"")</x:f>
        <x:v>0</x:v>
      </x:c>
      <x:c r="I60" s="50"/>
      <x:c r="J60" s="50"/>
      <x:c r="K60" s="50"/>
      <x:c r="L60" s="50"/>
      <x:c r="M60" s="50"/>
      <x:c r="N60" s="50"/>
      <x:c r="O60" s="50"/>
    </x:row>
    <x:row r="61">
      <x:c r="A61" s="50"/>
      <x:c r="B61" s="50"/>
      <x:c r="C61" s="50"/>
      <x:c r="D61" s="50"/>
      <x:c r="E61" s="66" t="n">
        <x:f>SUMIF(Sales!$C:$C,B61,Sales!$I:$I)</x:f>
        <x:v>0</x:v>
      </x:c>
      <x:c r="F61" s="66"/>
      <x:c r="G61" s="66" t="n">
        <x:f>E61-F61</x:f>
        <x:v>0</x:v>
      </x:c>
      <x:c r="H61" s="64" t="n">
        <x:f>IFERROR(MAXIFS(Sales!$B:$B,Sales!$C:$C,B61),"")</x:f>
        <x:v>0</x:v>
      </x:c>
      <x:c r="I61" s="50"/>
      <x:c r="J61" s="50"/>
      <x:c r="K61" s="50"/>
      <x:c r="L61" s="50"/>
      <x:c r="M61" s="50"/>
      <x:c r="N61" s="50"/>
      <x:c r="O61" s="50"/>
    </x:row>
    <x:row r="62">
      <x:c r="A62" s="50"/>
      <x:c r="B62" s="50"/>
      <x:c r="C62" s="50"/>
      <x:c r="D62" s="50"/>
      <x:c r="E62" s="66" t="n">
        <x:f>SUMIF(Sales!$C:$C,B62,Sales!$I:$I)</x:f>
        <x:v>0</x:v>
      </x:c>
      <x:c r="F62" s="66"/>
      <x:c r="G62" s="66" t="n">
        <x:f>E62-F62</x:f>
        <x:v>0</x:v>
      </x:c>
      <x:c r="H62" s="64" t="n">
        <x:f>IFERROR(MAXIFS(Sales!$B:$B,Sales!$C:$C,B62),"")</x:f>
        <x:v>0</x:v>
      </x:c>
      <x:c r="I62" s="50"/>
      <x:c r="J62" s="50"/>
      <x:c r="K62" s="50"/>
      <x:c r="L62" s="50"/>
      <x:c r="M62" s="50"/>
      <x:c r="N62" s="50"/>
      <x:c r="O62" s="50"/>
    </x:row>
    <x:row r="63">
      <x:c r="A63" s="50"/>
      <x:c r="B63" s="50"/>
      <x:c r="C63" s="50"/>
      <x:c r="D63" s="50"/>
      <x:c r="E63" s="66" t="n">
        <x:f>SUMIF(Sales!$C:$C,B63,Sales!$I:$I)</x:f>
        <x:v>0</x:v>
      </x:c>
      <x:c r="F63" s="66"/>
      <x:c r="G63" s="66" t="n">
        <x:f>E63-F63</x:f>
        <x:v>0</x:v>
      </x:c>
      <x:c r="H63" s="64" t="n">
        <x:f>IFERROR(MAXIFS(Sales!$B:$B,Sales!$C:$C,B63),"")</x:f>
        <x:v>0</x:v>
      </x:c>
      <x:c r="I63" s="50"/>
      <x:c r="J63" s="50"/>
      <x:c r="K63" s="50"/>
      <x:c r="L63" s="50"/>
      <x:c r="M63" s="50"/>
      <x:c r="N63" s="50"/>
      <x:c r="O63" s="50"/>
    </x:row>
    <x:row r="64">
      <x:c r="A64" s="50"/>
      <x:c r="B64" s="50"/>
      <x:c r="C64" s="50"/>
      <x:c r="D64" s="50"/>
      <x:c r="E64" s="66" t="n">
        <x:f>SUMIF(Sales!$C:$C,B64,Sales!$I:$I)</x:f>
        <x:v>0</x:v>
      </x:c>
      <x:c r="F64" s="66"/>
      <x:c r="G64" s="66" t="n">
        <x:f>E64-F64</x:f>
        <x:v>0</x:v>
      </x:c>
      <x:c r="H64" s="64" t="n">
        <x:f>IFERROR(MAXIFS(Sales!$B:$B,Sales!$C:$C,B64),"")</x:f>
        <x:v>0</x:v>
      </x:c>
      <x:c r="I64" s="50"/>
      <x:c r="J64" s="50"/>
      <x:c r="K64" s="50"/>
      <x:c r="L64" s="50"/>
      <x:c r="M64" s="50"/>
      <x:c r="N64" s="50"/>
      <x:c r="O64" s="50"/>
    </x:row>
    <x:row r="65">
      <x:c r="A65" s="50"/>
      <x:c r="B65" s="50"/>
      <x:c r="C65" s="50"/>
      <x:c r="D65" s="50"/>
      <x:c r="E65" s="66" t="n">
        <x:f>SUMIF(Sales!$C:$C,B65,Sales!$I:$I)</x:f>
        <x:v>0</x:v>
      </x:c>
      <x:c r="F65" s="66"/>
      <x:c r="G65" s="66" t="n">
        <x:f>E65-F65</x:f>
        <x:v>0</x:v>
      </x:c>
      <x:c r="H65" s="64" t="n">
        <x:f>IFERROR(MAXIFS(Sales!$B:$B,Sales!$C:$C,B65),"")</x:f>
        <x:v>0</x:v>
      </x:c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50"/>
      <x:c r="C66" s="50"/>
      <x:c r="D66" s="50"/>
      <x:c r="E66" s="66" t="n">
        <x:f>SUMIF(Sales!$C:$C,B66,Sales!$I:$I)</x:f>
        <x:v>0</x:v>
      </x:c>
      <x:c r="F66" s="66"/>
      <x:c r="G66" s="66" t="n">
        <x:f>E66-F66</x:f>
        <x:v>0</x:v>
      </x:c>
      <x:c r="H66" s="64" t="n">
        <x:f>IFERROR(MAXIFS(Sales!$B:$B,Sales!$C:$C,B66),"")</x:f>
        <x:v>0</x:v>
      </x:c>
      <x:c r="I66" s="50"/>
      <x:c r="J66" s="50"/>
      <x:c r="K66" s="50"/>
      <x:c r="L66" s="50"/>
      <x:c r="M66" s="50"/>
      <x:c r="N66" s="50"/>
      <x:c r="O66" s="50"/>
    </x:row>
    <x:row r="67">
      <x:c r="A67" s="50"/>
      <x:c r="B67" s="50"/>
      <x:c r="C67" s="50"/>
      <x:c r="D67" s="50"/>
      <x:c r="E67" s="66" t="n">
        <x:f>SUMIF(Sales!$C:$C,B67,Sales!$I:$I)</x:f>
        <x:v>0</x:v>
      </x:c>
      <x:c r="F67" s="66"/>
      <x:c r="G67" s="66" t="n">
        <x:f>E67-F67</x:f>
        <x:v>0</x:v>
      </x:c>
      <x:c r="H67" s="64" t="n">
        <x:f>IFERROR(MAXIFS(Sales!$B:$B,Sales!$C:$C,B67),"")</x:f>
        <x:v>0</x:v>
      </x:c>
      <x:c r="I67" s="50"/>
      <x:c r="J67" s="50"/>
      <x:c r="K67" s="50"/>
      <x:c r="L67" s="50"/>
      <x:c r="M67" s="50"/>
      <x:c r="N67" s="50"/>
      <x:c r="O67" s="50"/>
    </x:row>
    <x:row r="68">
      <x:c r="A68" s="50"/>
      <x:c r="B68" s="50"/>
      <x:c r="C68" s="50"/>
      <x:c r="D68" s="50"/>
      <x:c r="E68" s="66" t="n">
        <x:f>SUMIF(Sales!$C:$C,B68,Sales!$I:$I)</x:f>
        <x:v>0</x:v>
      </x:c>
      <x:c r="F68" s="66"/>
      <x:c r="G68" s="66" t="n">
        <x:f>E68-F68</x:f>
        <x:v>0</x:v>
      </x:c>
      <x:c r="H68" s="64" t="n">
        <x:f>IFERROR(MAXIFS(Sales!$B:$B,Sales!$C:$C,B68),"")</x:f>
        <x:v>0</x:v>
      </x:c>
      <x:c r="I68" s="50"/>
      <x:c r="J68" s="50"/>
      <x:c r="K68" s="50"/>
      <x:c r="L68" s="50"/>
      <x:c r="M68" s="50"/>
      <x:c r="N68" s="50"/>
      <x:c r="O68" s="50"/>
    </x:row>
    <x:row r="69">
      <x:c r="A69" s="50"/>
      <x:c r="B69" s="50"/>
      <x:c r="C69" s="50"/>
      <x:c r="D69" s="50"/>
      <x:c r="E69" s="66" t="n">
        <x:f>SUMIF(Sales!$C:$C,B69,Sales!$I:$I)</x:f>
        <x:v>0</x:v>
      </x:c>
      <x:c r="F69" s="66"/>
      <x:c r="G69" s="66" t="n">
        <x:f>E69-F69</x:f>
        <x:v>0</x:v>
      </x:c>
      <x:c r="H69" s="64" t="n">
        <x:f>IFERROR(MAXIFS(Sales!$B:$B,Sales!$C:$C,B69),"")</x:f>
        <x:v>0</x:v>
      </x:c>
      <x:c r="I69" s="50"/>
      <x:c r="J69" s="50"/>
      <x:c r="K69" s="50"/>
      <x:c r="L69" s="50"/>
      <x:c r="M69" s="50"/>
      <x:c r="N69" s="50"/>
      <x:c r="O69" s="50"/>
    </x:row>
    <x:row r="70">
      <x:c r="A70" s="50"/>
      <x:c r="B70" s="50"/>
      <x:c r="C70" s="50"/>
      <x:c r="D70" s="50"/>
      <x:c r="E70" s="66" t="n">
        <x:f>SUMIF(Sales!$C:$C,B70,Sales!$I:$I)</x:f>
        <x:v>0</x:v>
      </x:c>
      <x:c r="F70" s="66"/>
      <x:c r="G70" s="66" t="n">
        <x:f>E70-F70</x:f>
        <x:v>0</x:v>
      </x:c>
      <x:c r="H70" s="64" t="n">
        <x:f>IFERROR(MAXIFS(Sales!$B:$B,Sales!$C:$C,B70),"")</x:f>
        <x:v>0</x:v>
      </x:c>
      <x:c r="I70" s="50"/>
      <x:c r="J70" s="50"/>
      <x:c r="K70" s="50"/>
      <x:c r="L70" s="50"/>
      <x:c r="M70" s="50"/>
      <x:c r="N70" s="50"/>
      <x:c r="O70" s="50"/>
    </x:row>
    <x:row r="71">
      <x:c r="A71" s="50"/>
      <x:c r="B71" s="50"/>
      <x:c r="C71" s="50"/>
      <x:c r="D71" s="50"/>
      <x:c r="E71" s="66" t="n">
        <x:f>SUMIF(Sales!$C:$C,B71,Sales!$I:$I)</x:f>
        <x:v>0</x:v>
      </x:c>
      <x:c r="F71" s="66"/>
      <x:c r="G71" s="66" t="n">
        <x:f>E71-F71</x:f>
        <x:v>0</x:v>
      </x:c>
      <x:c r="H71" s="64" t="n">
        <x:f>IFERROR(MAXIFS(Sales!$B:$B,Sales!$C:$C,B71),"")</x:f>
        <x:v>0</x:v>
      </x:c>
      <x:c r="I71" s="50"/>
      <x:c r="J71" s="50"/>
      <x:c r="K71" s="50"/>
      <x:c r="L71" s="50"/>
      <x:c r="M71" s="50"/>
      <x:c r="N71" s="50"/>
      <x:c r="O71" s="50"/>
    </x:row>
    <x:row r="72">
      <x:c r="A72" s="50"/>
      <x:c r="B72" s="50"/>
      <x:c r="C72" s="50"/>
      <x:c r="D72" s="50"/>
      <x:c r="E72" s="66" t="n">
        <x:f>SUMIF(Sales!$C:$C,B72,Sales!$I:$I)</x:f>
        <x:v>0</x:v>
      </x:c>
      <x:c r="F72" s="66"/>
      <x:c r="G72" s="66" t="n">
        <x:f>E72-F72</x:f>
        <x:v>0</x:v>
      </x:c>
      <x:c r="H72" s="64" t="n">
        <x:f>IFERROR(MAXIFS(Sales!$B:$B,Sales!$C:$C,B72),"")</x:f>
        <x:v>0</x:v>
      </x:c>
      <x:c r="I72" s="50"/>
      <x:c r="J72" s="50"/>
      <x:c r="K72" s="50"/>
      <x:c r="L72" s="50"/>
      <x:c r="M72" s="50"/>
      <x:c r="N72" s="50"/>
      <x:c r="O72" s="50"/>
    </x:row>
    <x:row r="73">
      <x:c r="A73" s="50"/>
      <x:c r="B73" s="50"/>
      <x:c r="C73" s="50"/>
      <x:c r="D73" s="50"/>
      <x:c r="E73" s="66" t="n">
        <x:f>SUMIF(Sales!$C:$C,B73,Sales!$I:$I)</x:f>
        <x:v>0</x:v>
      </x:c>
      <x:c r="F73" s="66"/>
      <x:c r="G73" s="66" t="n">
        <x:f>E73-F73</x:f>
        <x:v>0</x:v>
      </x:c>
      <x:c r="H73" s="64" t="n">
        <x:f>IFERROR(MAXIFS(Sales!$B:$B,Sales!$C:$C,B73),"")</x:f>
        <x:v>0</x:v>
      </x:c>
      <x:c r="I73" s="50"/>
      <x:c r="J73" s="50"/>
      <x:c r="K73" s="50"/>
      <x:c r="L73" s="50"/>
      <x:c r="M73" s="50"/>
      <x:c r="N73" s="50"/>
      <x:c r="O73" s="50"/>
    </x:row>
    <x:row r="74">
      <x:c r="A74" s="50"/>
      <x:c r="B74" s="50"/>
      <x:c r="C74" s="50"/>
      <x:c r="D74" s="50"/>
      <x:c r="E74" s="66" t="n">
        <x:f>SUMIF(Sales!$C:$C,B74,Sales!$I:$I)</x:f>
        <x:v>0</x:v>
      </x:c>
      <x:c r="F74" s="66"/>
      <x:c r="G74" s="66" t="n">
        <x:f>E74-F74</x:f>
        <x:v>0</x:v>
      </x:c>
      <x:c r="H74" s="64" t="n">
        <x:f>IFERROR(MAXIFS(Sales!$B:$B,Sales!$C:$C,B74),"")</x:f>
        <x:v>0</x:v>
      </x:c>
      <x:c r="I74" s="50"/>
      <x:c r="J74" s="50"/>
      <x:c r="K74" s="50"/>
      <x:c r="L74" s="50"/>
      <x:c r="M74" s="50"/>
      <x:c r="N74" s="50"/>
      <x:c r="O74" s="50"/>
    </x:row>
    <x:row r="75">
      <x:c r="A75" s="50"/>
      <x:c r="B75" s="50"/>
      <x:c r="C75" s="50"/>
      <x:c r="D75" s="50"/>
      <x:c r="E75" s="66" t="n">
        <x:f>SUMIF(Sales!$C:$C,B75,Sales!$I:$I)</x:f>
        <x:v>0</x:v>
      </x:c>
      <x:c r="F75" s="66"/>
      <x:c r="G75" s="66" t="n">
        <x:f>E75-F75</x:f>
        <x:v>0</x:v>
      </x:c>
      <x:c r="H75" s="64" t="n">
        <x:f>IFERROR(MAXIFS(Sales!$B:$B,Sales!$C:$C,B75),"")</x:f>
        <x:v>0</x:v>
      </x:c>
      <x:c r="I75" s="50"/>
      <x:c r="J75" s="50"/>
      <x:c r="K75" s="50"/>
      <x:c r="L75" s="50"/>
      <x:c r="M75" s="50"/>
      <x:c r="N75" s="50"/>
      <x:c r="O75" s="50"/>
    </x:row>
    <x:row r="76">
      <x:c r="A76" s="50"/>
      <x:c r="B76" s="50"/>
      <x:c r="C76" s="50"/>
      <x:c r="D76" s="50"/>
      <x:c r="E76" s="66" t="n">
        <x:f>SUMIF(Sales!$C:$C,B76,Sales!$I:$I)</x:f>
        <x:v>0</x:v>
      </x:c>
      <x:c r="F76" s="66"/>
      <x:c r="G76" s="66" t="n">
        <x:f>E76-F76</x:f>
        <x:v>0</x:v>
      </x:c>
      <x:c r="H76" s="64" t="n">
        <x:f>IFERROR(MAXIFS(Sales!$B:$B,Sales!$C:$C,B76),"")</x:f>
        <x:v>0</x:v>
      </x:c>
      <x:c r="I76" s="50"/>
      <x:c r="J76" s="50"/>
      <x:c r="K76" s="50"/>
      <x:c r="L76" s="50"/>
      <x:c r="M76" s="50"/>
      <x:c r="N76" s="50"/>
      <x:c r="O76" s="50"/>
    </x:row>
    <x:row r="77">
      <x:c r="A77" s="50"/>
      <x:c r="B77" s="50"/>
      <x:c r="C77" s="50"/>
      <x:c r="D77" s="50"/>
      <x:c r="E77" s="66" t="n">
        <x:f>SUMIF(Sales!$C:$C,B77,Sales!$I:$I)</x:f>
        <x:v>0</x:v>
      </x:c>
      <x:c r="F77" s="66"/>
      <x:c r="G77" s="66" t="n">
        <x:f>E77-F77</x:f>
        <x:v>0</x:v>
      </x:c>
      <x:c r="H77" s="64" t="n">
        <x:f>IFERROR(MAXIFS(Sales!$B:$B,Sales!$C:$C,B77),"")</x:f>
        <x:v>0</x:v>
      </x:c>
      <x:c r="I77" s="50"/>
      <x:c r="J77" s="50"/>
      <x:c r="K77" s="50"/>
      <x:c r="L77" s="50"/>
      <x:c r="M77" s="50"/>
      <x:c r="N77" s="50"/>
      <x:c r="O77" s="50"/>
    </x:row>
    <x:row r="78">
      <x:c r="A78" s="50"/>
      <x:c r="B78" s="50"/>
      <x:c r="C78" s="50"/>
      <x:c r="D78" s="50"/>
      <x:c r="E78" s="66" t="n">
        <x:f>SUMIF(Sales!$C:$C,B78,Sales!$I:$I)</x:f>
        <x:v>0</x:v>
      </x:c>
      <x:c r="F78" s="66"/>
      <x:c r="G78" s="66" t="n">
        <x:f>E78-F78</x:f>
        <x:v>0</x:v>
      </x:c>
      <x:c r="H78" s="64" t="n">
        <x:f>IFERROR(MAXIFS(Sales!$B:$B,Sales!$C:$C,B78),"")</x:f>
        <x:v>0</x:v>
      </x:c>
      <x:c r="I78" s="50"/>
      <x:c r="J78" s="50"/>
      <x:c r="K78" s="50"/>
      <x:c r="L78" s="50"/>
      <x:c r="M78" s="50"/>
      <x:c r="N78" s="50"/>
      <x:c r="O78" s="50"/>
    </x:row>
    <x:row r="79">
      <x:c r="A79" s="50"/>
      <x:c r="B79" s="50"/>
      <x:c r="C79" s="50"/>
      <x:c r="D79" s="50"/>
      <x:c r="E79" s="66" t="n">
        <x:f>SUMIF(Sales!$C:$C,B79,Sales!$I:$I)</x:f>
        <x:v>0</x:v>
      </x:c>
      <x:c r="F79" s="66"/>
      <x:c r="G79" s="66" t="n">
        <x:f>E79-F79</x:f>
        <x:v>0</x:v>
      </x:c>
      <x:c r="H79" s="64" t="n">
        <x:f>IFERROR(MAXIFS(Sales!$B:$B,Sales!$C:$C,B79),"")</x:f>
        <x:v>0</x:v>
      </x:c>
      <x:c r="I79" s="50"/>
      <x:c r="J79" s="50"/>
      <x:c r="K79" s="50"/>
      <x:c r="L79" s="50"/>
      <x:c r="M79" s="50"/>
      <x:c r="N79" s="50"/>
      <x:c r="O79" s="50"/>
    </x:row>
    <x:row r="80">
      <x:c r="A80" s="50"/>
      <x:c r="B80" s="50"/>
      <x:c r="C80" s="50"/>
      <x:c r="D80" s="50"/>
      <x:c r="E80" s="66" t="n">
        <x:f>SUMIF(Sales!$C:$C,B80,Sales!$I:$I)</x:f>
        <x:v>0</x:v>
      </x:c>
      <x:c r="F80" s="66"/>
      <x:c r="G80" s="66" t="n">
        <x:f>E80-F80</x:f>
        <x:v>0</x:v>
      </x:c>
      <x:c r="H80" s="64" t="n">
        <x:f>IFERROR(MAXIFS(Sales!$B:$B,Sales!$C:$C,B80),"")</x:f>
        <x:v>0</x:v>
      </x:c>
      <x:c r="I80" s="50"/>
      <x:c r="J80" s="50"/>
      <x:c r="K80" s="50"/>
      <x:c r="L80" s="50"/>
      <x:c r="M80" s="50"/>
      <x:c r="N80" s="50"/>
      <x:c r="O80" s="50"/>
    </x:row>
    <x:row r="81">
      <x:c r="A81" s="50"/>
      <x:c r="B81" s="50"/>
      <x:c r="C81" s="50"/>
      <x:c r="D81" s="50"/>
      <x:c r="E81" s="66" t="n">
        <x:f>SUMIF(Sales!$C:$C,B81,Sales!$I:$I)</x:f>
        <x:v>0</x:v>
      </x:c>
      <x:c r="F81" s="66"/>
      <x:c r="G81" s="66" t="n">
        <x:f>E81-F81</x:f>
        <x:v>0</x:v>
      </x:c>
      <x:c r="H81" s="64" t="n">
        <x:f>IFERROR(MAXIFS(Sales!$B:$B,Sales!$C:$C,B81),"")</x:f>
        <x:v>0</x:v>
      </x:c>
      <x:c r="I81" s="50"/>
      <x:c r="J81" s="50"/>
      <x:c r="K81" s="50"/>
      <x:c r="L81" s="50"/>
      <x:c r="M81" s="50"/>
      <x:c r="N81" s="50"/>
      <x:c r="O81" s="50"/>
    </x:row>
    <x:row r="82">
      <x:c r="A82" s="50"/>
      <x:c r="B82" s="50"/>
      <x:c r="C82" s="50"/>
      <x:c r="D82" s="50"/>
      <x:c r="E82" s="66" t="n">
        <x:f>SUMIF(Sales!$C:$C,B82,Sales!$I:$I)</x:f>
        <x:v>0</x:v>
      </x:c>
      <x:c r="F82" s="66"/>
      <x:c r="G82" s="66" t="n">
        <x:f>E82-F82</x:f>
        <x:v>0</x:v>
      </x:c>
      <x:c r="H82" s="64" t="n">
        <x:f>IFERROR(MAXIFS(Sales!$B:$B,Sales!$C:$C,B82),"")</x:f>
        <x:v>0</x:v>
      </x:c>
      <x:c r="I82" s="50"/>
      <x:c r="J82" s="50"/>
      <x:c r="K82" s="50"/>
      <x:c r="L82" s="50"/>
      <x:c r="M82" s="50"/>
      <x:c r="N82" s="50"/>
      <x:c r="O82" s="50"/>
    </x:row>
    <x:row r="83">
      <x:c r="A83" s="50"/>
      <x:c r="B83" s="50"/>
      <x:c r="C83" s="50"/>
      <x:c r="D83" s="50"/>
      <x:c r="E83" s="66" t="n">
        <x:f>SUMIF(Sales!$C:$C,B83,Sales!$I:$I)</x:f>
        <x:v>0</x:v>
      </x:c>
      <x:c r="F83" s="66"/>
      <x:c r="G83" s="66" t="n">
        <x:f>E83-F83</x:f>
        <x:v>0</x:v>
      </x:c>
      <x:c r="H83" s="64" t="n">
        <x:f>IFERROR(MAXIFS(Sales!$B:$B,Sales!$C:$C,B83),"")</x:f>
        <x:v>0</x:v>
      </x:c>
      <x:c r="I83" s="50"/>
      <x:c r="J83" s="50"/>
      <x:c r="K83" s="50"/>
      <x:c r="L83" s="50"/>
      <x:c r="M83" s="50"/>
      <x:c r="N83" s="50"/>
      <x:c r="O83" s="50"/>
    </x:row>
    <x:row r="84">
      <x:c r="A84" s="50"/>
      <x:c r="B84" s="50"/>
      <x:c r="C84" s="50"/>
      <x:c r="D84" s="50"/>
      <x:c r="E84" s="66" t="n">
        <x:f>SUMIF(Sales!$C:$C,B84,Sales!$I:$I)</x:f>
        <x:v>0</x:v>
      </x:c>
      <x:c r="F84" s="66"/>
      <x:c r="G84" s="66" t="n">
        <x:f>E84-F84</x:f>
        <x:v>0</x:v>
      </x:c>
      <x:c r="H84" s="64" t="n">
        <x:f>IFERROR(MAXIFS(Sales!$B:$B,Sales!$C:$C,B84),"")</x:f>
        <x:v>0</x:v>
      </x:c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50"/>
      <x:c r="C85" s="50"/>
      <x:c r="D85" s="50"/>
      <x:c r="E85" s="66" t="n">
        <x:f>SUMIF(Sales!$C:$C,B85,Sales!$I:$I)</x:f>
        <x:v>0</x:v>
      </x:c>
      <x:c r="F85" s="66"/>
      <x:c r="G85" s="66" t="n">
        <x:f>E85-F85</x:f>
        <x:v>0</x:v>
      </x:c>
      <x:c r="H85" s="64" t="n">
        <x:f>IFERROR(MAXIFS(Sales!$B:$B,Sales!$C:$C,B85),"")</x:f>
        <x:v>0</x:v>
      </x:c>
      <x:c r="I85" s="50"/>
      <x:c r="J85" s="50"/>
      <x:c r="K85" s="50"/>
      <x:c r="L85" s="50"/>
      <x:c r="M85" s="50"/>
      <x:c r="N85" s="50"/>
      <x:c r="O85" s="50"/>
    </x:row>
    <x:row r="86">
      <x:c r="A86" s="50"/>
      <x:c r="B86" s="50"/>
      <x:c r="C86" s="50"/>
      <x:c r="D86" s="50"/>
      <x:c r="E86" s="66" t="n">
        <x:f>SUMIF(Sales!$C:$C,B86,Sales!$I:$I)</x:f>
        <x:v>0</x:v>
      </x:c>
      <x:c r="F86" s="66"/>
      <x:c r="G86" s="66" t="n">
        <x:f>E86-F86</x:f>
        <x:v>0</x:v>
      </x:c>
      <x:c r="H86" s="64" t="n">
        <x:f>IFERROR(MAXIFS(Sales!$B:$B,Sales!$C:$C,B86),"")</x:f>
        <x:v>0</x:v>
      </x:c>
      <x:c r="I86" s="50"/>
      <x:c r="J86" s="50"/>
      <x:c r="K86" s="50"/>
      <x:c r="L86" s="50"/>
      <x:c r="M86" s="50"/>
      <x:c r="N86" s="50"/>
      <x:c r="O86" s="50"/>
    </x:row>
    <x:row r="87">
      <x:c r="A87" s="50"/>
      <x:c r="B87" s="50"/>
      <x:c r="C87" s="50"/>
      <x:c r="D87" s="50"/>
      <x:c r="E87" s="66" t="n">
        <x:f>SUMIF(Sales!$C:$C,B87,Sales!$I:$I)</x:f>
        <x:v>0</x:v>
      </x:c>
      <x:c r="F87" s="66"/>
      <x:c r="G87" s="66" t="n">
        <x:f>E87-F87</x:f>
        <x:v>0</x:v>
      </x:c>
      <x:c r="H87" s="64" t="n">
        <x:f>IFERROR(MAXIFS(Sales!$B:$B,Sales!$C:$C,B87),"")</x:f>
        <x:v>0</x:v>
      </x:c>
      <x:c r="I87" s="50"/>
      <x:c r="J87" s="50"/>
      <x:c r="K87" s="50"/>
      <x:c r="L87" s="50"/>
      <x:c r="M87" s="50"/>
      <x:c r="N87" s="50"/>
      <x:c r="O87" s="50"/>
    </x:row>
    <x:row r="88">
      <x:c r="A88" s="50"/>
      <x:c r="B88" s="50"/>
      <x:c r="C88" s="50"/>
      <x:c r="D88" s="50"/>
      <x:c r="E88" s="66" t="n">
        <x:f>SUMIF(Sales!$C:$C,B88,Sales!$I:$I)</x:f>
        <x:v>0</x:v>
      </x:c>
      <x:c r="F88" s="66"/>
      <x:c r="G88" s="66" t="n">
        <x:f>E88-F88</x:f>
        <x:v>0</x:v>
      </x:c>
      <x:c r="H88" s="64" t="n">
        <x:f>IFERROR(MAXIFS(Sales!$B:$B,Sales!$C:$C,B88),"")</x:f>
        <x:v>0</x:v>
      </x:c>
      <x:c r="I88" s="50"/>
      <x:c r="J88" s="50"/>
      <x:c r="K88" s="50"/>
      <x:c r="L88" s="50"/>
      <x:c r="M88" s="50"/>
      <x:c r="N88" s="50"/>
      <x:c r="O88" s="50"/>
    </x:row>
    <x:row r="89">
      <x:c r="A89" s="50"/>
      <x:c r="B89" s="50"/>
      <x:c r="C89" s="50"/>
      <x:c r="D89" s="50"/>
      <x:c r="E89" s="66" t="n">
        <x:f>SUMIF(Sales!$C:$C,B89,Sales!$I:$I)</x:f>
        <x:v>0</x:v>
      </x:c>
      <x:c r="F89" s="66"/>
      <x:c r="G89" s="66" t="n">
        <x:f>E89-F89</x:f>
        <x:v>0</x:v>
      </x:c>
      <x:c r="H89" s="64" t="n">
        <x:f>IFERROR(MAXIFS(Sales!$B:$B,Sales!$C:$C,B89),"")</x:f>
        <x:v>0</x:v>
      </x:c>
      <x:c r="I89" s="50"/>
      <x:c r="J89" s="50"/>
      <x:c r="K89" s="50"/>
      <x:c r="L89" s="50"/>
      <x:c r="M89" s="50"/>
      <x:c r="N89" s="50"/>
      <x:c r="O89" s="50"/>
    </x:row>
    <x:row r="90">
      <x:c r="A90" s="50"/>
      <x:c r="B90" s="50"/>
      <x:c r="C90" s="50"/>
      <x:c r="D90" s="50"/>
      <x:c r="E90" s="66" t="n">
        <x:f>SUMIF(Sales!$C:$C,B90,Sales!$I:$I)</x:f>
        <x:v>0</x:v>
      </x:c>
      <x:c r="F90" s="66"/>
      <x:c r="G90" s="66" t="n">
        <x:f>E90-F90</x:f>
        <x:v>0</x:v>
      </x:c>
      <x:c r="H90" s="64" t="n">
        <x:f>IFERROR(MAXIFS(Sales!$B:$B,Sales!$C:$C,B90),"")</x:f>
        <x:v>0</x:v>
      </x:c>
      <x:c r="I90" s="50"/>
      <x:c r="J90" s="50"/>
      <x:c r="K90" s="50"/>
      <x:c r="L90" s="50"/>
      <x:c r="M90" s="50"/>
      <x:c r="N90" s="50"/>
      <x:c r="O90" s="50"/>
    </x:row>
    <x:row r="91">
      <x:c r="A91" s="50"/>
      <x:c r="B91" s="50"/>
      <x:c r="C91" s="50"/>
      <x:c r="D91" s="50"/>
      <x:c r="E91" s="66" t="n">
        <x:f>SUMIF(Sales!$C:$C,B91,Sales!$I:$I)</x:f>
        <x:v>0</x:v>
      </x:c>
      <x:c r="F91" s="66"/>
      <x:c r="G91" s="66" t="n">
        <x:f>E91-F91</x:f>
        <x:v>0</x:v>
      </x:c>
      <x:c r="H91" s="64" t="n">
        <x:f>IFERROR(MAXIFS(Sales!$B:$B,Sales!$C:$C,B91),"")</x:f>
        <x:v>0</x:v>
      </x:c>
      <x:c r="I91" s="50"/>
      <x:c r="J91" s="50"/>
      <x:c r="K91" s="50"/>
      <x:c r="L91" s="50"/>
      <x:c r="M91" s="50"/>
      <x:c r="N91" s="50"/>
      <x:c r="O91" s="50"/>
    </x:row>
    <x:row r="92">
      <x:c r="A92" s="50"/>
      <x:c r="B92" s="50"/>
      <x:c r="C92" s="50"/>
      <x:c r="D92" s="50"/>
      <x:c r="E92" s="66" t="n">
        <x:f>SUMIF(Sales!$C:$C,B92,Sales!$I:$I)</x:f>
        <x:v>0</x:v>
      </x:c>
      <x:c r="F92" s="66"/>
      <x:c r="G92" s="66" t="n">
        <x:f>E92-F92</x:f>
        <x:v>0</x:v>
      </x:c>
      <x:c r="H92" s="64" t="n">
        <x:f>IFERROR(MAXIFS(Sales!$B:$B,Sales!$C:$C,B92),"")</x:f>
        <x:v>0</x:v>
      </x:c>
      <x:c r="I92" s="50"/>
      <x:c r="J92" s="50"/>
      <x:c r="K92" s="50"/>
      <x:c r="L92" s="50"/>
      <x:c r="M92" s="50"/>
      <x:c r="N92" s="50"/>
      <x:c r="O92" s="50"/>
    </x:row>
    <x:row r="93">
      <x:c r="A93" s="50"/>
      <x:c r="B93" s="50"/>
      <x:c r="C93" s="50"/>
      <x:c r="D93" s="50"/>
      <x:c r="E93" s="66" t="n">
        <x:f>SUMIF(Sales!$C:$C,B93,Sales!$I:$I)</x:f>
        <x:v>0</x:v>
      </x:c>
      <x:c r="F93" s="66"/>
      <x:c r="G93" s="66" t="n">
        <x:f>E93-F93</x:f>
        <x:v>0</x:v>
      </x:c>
      <x:c r="H93" s="64" t="n">
        <x:f>IFERROR(MAXIFS(Sales!$B:$B,Sales!$C:$C,B93),"")</x:f>
        <x:v>0</x:v>
      </x:c>
      <x:c r="I93" s="50"/>
      <x:c r="J93" s="50"/>
      <x:c r="K93" s="50"/>
      <x:c r="L93" s="50"/>
      <x:c r="M93" s="50"/>
      <x:c r="N93" s="50"/>
      <x:c r="O93" s="50"/>
    </x:row>
    <x:row r="94">
      <x:c r="A94" s="50"/>
      <x:c r="B94" s="50"/>
      <x:c r="C94" s="50"/>
      <x:c r="D94" s="50"/>
      <x:c r="E94" s="66" t="n">
        <x:f>SUMIF(Sales!$C:$C,B94,Sales!$I:$I)</x:f>
        <x:v>0</x:v>
      </x:c>
      <x:c r="F94" s="66"/>
      <x:c r="G94" s="66" t="n">
        <x:f>E94-F94</x:f>
        <x:v>0</x:v>
      </x:c>
      <x:c r="H94" s="64" t="n">
        <x:f>IFERROR(MAXIFS(Sales!$B:$B,Sales!$C:$C,B94),"")</x:f>
        <x:v>0</x:v>
      </x:c>
      <x:c r="I94" s="50"/>
      <x:c r="J94" s="50"/>
      <x:c r="K94" s="50"/>
      <x:c r="L94" s="50"/>
      <x:c r="M94" s="50"/>
      <x:c r="N94" s="50"/>
      <x:c r="O94" s="50"/>
    </x:row>
    <x:row r="95">
      <x:c r="A95" s="50"/>
      <x:c r="B95" s="50"/>
      <x:c r="C95" s="50"/>
      <x:c r="D95" s="50"/>
      <x:c r="E95" s="66" t="n">
        <x:f>SUMIF(Sales!$C:$C,B95,Sales!$I:$I)</x:f>
        <x:v>0</x:v>
      </x:c>
      <x:c r="F95" s="66"/>
      <x:c r="G95" s="66" t="n">
        <x:f>E95-F95</x:f>
        <x:v>0</x:v>
      </x:c>
      <x:c r="H95" s="64" t="n">
        <x:f>IFERROR(MAXIFS(Sales!$B:$B,Sales!$C:$C,B95),"")</x:f>
        <x:v>0</x:v>
      </x:c>
      <x:c r="I95" s="50"/>
      <x:c r="J95" s="50"/>
      <x:c r="K95" s="50"/>
      <x:c r="L95" s="50"/>
      <x:c r="M95" s="50"/>
      <x:c r="N95" s="50"/>
      <x:c r="O95" s="50"/>
    </x:row>
    <x:row r="96">
      <x:c r="A96" s="50"/>
      <x:c r="B96" s="50"/>
      <x:c r="C96" s="50"/>
      <x:c r="D96" s="50"/>
      <x:c r="E96" s="66" t="n">
        <x:f>SUMIF(Sales!$C:$C,B96,Sales!$I:$I)</x:f>
        <x:v>0</x:v>
      </x:c>
      <x:c r="F96" s="66"/>
      <x:c r="G96" s="66" t="n">
        <x:f>E96-F96</x:f>
        <x:v>0</x:v>
      </x:c>
      <x:c r="H96" s="64" t="n">
        <x:f>IFERROR(MAXIFS(Sales!$B:$B,Sales!$C:$C,B96),"")</x:f>
        <x:v>0</x:v>
      </x:c>
      <x:c r="I96" s="50"/>
      <x:c r="J96" s="50"/>
      <x:c r="K96" s="50"/>
      <x:c r="L96" s="50"/>
      <x:c r="M96" s="50"/>
      <x:c r="N96" s="50"/>
      <x:c r="O96" s="50"/>
    </x:row>
    <x:row r="97">
      <x:c r="A97" s="50"/>
      <x:c r="B97" s="50"/>
      <x:c r="C97" s="50"/>
      <x:c r="D97" s="50"/>
      <x:c r="E97" s="66" t="n">
        <x:f>SUMIF(Sales!$C:$C,B97,Sales!$I:$I)</x:f>
        <x:v>0</x:v>
      </x:c>
      <x:c r="F97" s="66"/>
      <x:c r="G97" s="66" t="n">
        <x:f>E97-F97</x:f>
        <x:v>0</x:v>
      </x:c>
      <x:c r="H97" s="64" t="n">
        <x:f>IFERROR(MAXIFS(Sales!$B:$B,Sales!$C:$C,B97),"")</x:f>
        <x:v>0</x:v>
      </x:c>
      <x:c r="I97" s="50"/>
      <x:c r="J97" s="50"/>
      <x:c r="K97" s="50"/>
      <x:c r="L97" s="50"/>
      <x:c r="M97" s="50"/>
      <x:c r="N97" s="50"/>
      <x:c r="O97" s="50"/>
    </x:row>
    <x:row r="98">
      <x:c r="A98" s="50"/>
      <x:c r="B98" s="50"/>
      <x:c r="C98" s="50"/>
      <x:c r="D98" s="50"/>
      <x:c r="E98" s="66" t="n">
        <x:f>SUMIF(Sales!$C:$C,B98,Sales!$I:$I)</x:f>
        <x:v>0</x:v>
      </x:c>
      <x:c r="F98" s="66"/>
      <x:c r="G98" s="66" t="n">
        <x:f>E98-F98</x:f>
        <x:v>0</x:v>
      </x:c>
      <x:c r="H98" s="64" t="n">
        <x:f>IFERROR(MAXIFS(Sales!$B:$B,Sales!$C:$C,B98),"")</x:f>
        <x:v>0</x:v>
      </x:c>
      <x:c r="I98" s="50"/>
      <x:c r="J98" s="50"/>
      <x:c r="K98" s="50"/>
      <x:c r="L98" s="50"/>
      <x:c r="M98" s="50"/>
      <x:c r="N98" s="50"/>
      <x:c r="O98" s="50"/>
    </x:row>
    <x:row r="99">
      <x:c r="A99" s="50"/>
      <x:c r="B99" s="50"/>
      <x:c r="C99" s="50"/>
      <x:c r="D99" s="50"/>
      <x:c r="E99" s="66" t="n">
        <x:f>SUMIF(Sales!$C:$C,B99,Sales!$I:$I)</x:f>
        <x:v>0</x:v>
      </x:c>
      <x:c r="F99" s="66"/>
      <x:c r="G99" s="66" t="n">
        <x:f>E99-F99</x:f>
        <x:v>0</x:v>
      </x:c>
      <x:c r="H99" s="64" t="n">
        <x:f>IFERROR(MAXIFS(Sales!$B:$B,Sales!$C:$C,B99),"")</x:f>
        <x:v>0</x:v>
      </x:c>
      <x:c r="I99" s="50"/>
      <x:c r="J99" s="50"/>
      <x:c r="K99" s="50"/>
      <x:c r="L99" s="50"/>
      <x:c r="M99" s="50"/>
      <x:c r="N99" s="50"/>
      <x:c r="O99" s="50"/>
    </x:row>
    <x:row r="100">
      <x:c r="A100" s="50"/>
      <x:c r="B100" s="50"/>
      <x:c r="C100" s="50"/>
      <x:c r="D100" s="50"/>
      <x:c r="E100" s="66" t="n">
        <x:f>SUMIF(Sales!$C:$C,B100,Sales!$I:$I)</x:f>
        <x:v>0</x:v>
      </x:c>
      <x:c r="F100" s="66"/>
      <x:c r="G100" s="66" t="n">
        <x:f>E100-F100</x:f>
        <x:v>0</x:v>
      </x:c>
      <x:c r="H100" s="64" t="n">
        <x:f>IFERROR(MAXIFS(Sales!$B:$B,Sales!$C:$C,B100),"")</x:f>
        <x:v>0</x:v>
      </x:c>
      <x:c r="I100" s="50"/>
      <x:c r="J100" s="50"/>
      <x:c r="K100" s="50"/>
      <x:c r="L100" s="50"/>
      <x:c r="M100" s="50"/>
      <x:c r="N100" s="50"/>
      <x:c r="O100" s="50"/>
    </x:row>
    <x:row r="101">
      <x:c r="A101" s="50"/>
      <x:c r="B101" s="50"/>
      <x:c r="C101" s="50"/>
      <x:c r="D101" s="50"/>
      <x:c r="E101" s="66" t="n">
        <x:f>SUMIF(Sales!$C:$C,B101,Sales!$I:$I)</x:f>
        <x:v>0</x:v>
      </x:c>
      <x:c r="F101" s="66"/>
      <x:c r="G101" s="66" t="n">
        <x:f>E101-F101</x:f>
        <x:v>0</x:v>
      </x:c>
      <x:c r="H101" s="64" t="n">
        <x:f>IFERROR(MAXIFS(Sales!$B:$B,Sales!$C:$C,B101),"")</x:f>
        <x:v>0</x:v>
      </x:c>
      <x:c r="I101" s="50"/>
      <x:c r="J101" s="50"/>
      <x:c r="K101" s="50"/>
      <x:c r="L101" s="50"/>
      <x:c r="M101" s="50"/>
      <x:c r="N101" s="50"/>
      <x:c r="O101" s="50"/>
    </x:row>
    <x:row r="102">
      <x:c r="A102" s="50"/>
      <x:c r="B102" s="50"/>
      <x:c r="C102" s="50"/>
      <x:c r="D102" s="50"/>
      <x:c r="E102" s="66" t="n">
        <x:f>SUMIF(Sales!$C:$C,B102,Sales!$I:$I)</x:f>
        <x:v>0</x:v>
      </x:c>
      <x:c r="F102" s="66"/>
      <x:c r="G102" s="66" t="n">
        <x:f>E102-F102</x:f>
        <x:v>0</x:v>
      </x:c>
      <x:c r="H102" s="64" t="n">
        <x:f>IFERROR(MAXIFS(Sales!$B:$B,Sales!$C:$C,B102),"")</x:f>
        <x:v>0</x:v>
      </x:c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50"/>
      <x:c r="C103" s="50"/>
      <x:c r="D103" s="50"/>
      <x:c r="E103" s="66" t="n">
        <x:f>SUMIF(Sales!$C:$C,B103,Sales!$I:$I)</x:f>
        <x:v>0</x:v>
      </x:c>
      <x:c r="F103" s="66"/>
      <x:c r="G103" s="66" t="n">
        <x:f>E103-F103</x:f>
        <x:v>0</x:v>
      </x:c>
      <x:c r="H103" s="64" t="n">
        <x:f>IFERROR(MAXIFS(Sales!$B:$B,Sales!$C:$C,B103),"")</x:f>
        <x:v>0</x:v>
      </x:c>
      <x:c r="I103" s="50"/>
      <x:c r="J103" s="50"/>
      <x:c r="K103" s="50"/>
      <x:c r="L103" s="50"/>
      <x:c r="M103" s="50"/>
      <x:c r="N103" s="50"/>
      <x:c r="O103" s="50"/>
    </x:row>
    <x:row r="104">
      <x:c r="A104" s="50"/>
      <x:c r="B104" s="50"/>
      <x:c r="C104" s="50"/>
      <x:c r="D104" s="50"/>
      <x:c r="E104" s="66" t="n">
        <x:f>SUMIF(Sales!$C:$C,B104,Sales!$I:$I)</x:f>
        <x:v>0</x:v>
      </x:c>
      <x:c r="F104" s="66"/>
      <x:c r="G104" s="66" t="n">
        <x:f>E104-F104</x:f>
        <x:v>0</x:v>
      </x:c>
      <x:c r="H104" s="64" t="n">
        <x:f>IFERROR(MAXIFS(Sales!$B:$B,Sales!$C:$C,B104),"")</x:f>
        <x:v>0</x:v>
      </x:c>
      <x:c r="I104" s="50"/>
      <x:c r="J104" s="50"/>
      <x:c r="K104" s="50"/>
      <x:c r="L104" s="50"/>
      <x:c r="M104" s="50"/>
      <x:c r="N104" s="50"/>
      <x:c r="O104" s="50"/>
    </x:row>
    <x:row r="105">
      <x:c r="A105" s="50"/>
      <x:c r="B105" s="50"/>
      <x:c r="C105" s="50"/>
      <x:c r="D105" s="50"/>
      <x:c r="E105" s="66" t="n">
        <x:f>SUMIF(Sales!$C:$C,B105,Sales!$I:$I)</x:f>
        <x:v>0</x:v>
      </x:c>
      <x:c r="F105" s="66"/>
      <x:c r="G105" s="66" t="n">
        <x:f>E105-F105</x:f>
        <x:v>0</x:v>
      </x:c>
      <x:c r="H105" s="64" t="n">
        <x:f>IFERROR(MAXIFS(Sales!$B:$B,Sales!$C:$C,B105),"")</x:f>
        <x:v>0</x:v>
      </x:c>
      <x:c r="I105" s="50"/>
      <x:c r="J105" s="50"/>
      <x:c r="K105" s="50"/>
      <x:c r="L105" s="50"/>
      <x:c r="M105" s="50"/>
      <x:c r="N105" s="50"/>
      <x:c r="O105" s="50"/>
    </x:row>
    <x:row r="106">
      <x:c r="A106" s="50"/>
      <x:c r="B106" s="50"/>
      <x:c r="C106" s="50"/>
      <x:c r="D106" s="50"/>
      <x:c r="E106" s="66" t="n">
        <x:f>SUMIF(Sales!$C:$C,B106,Sales!$I:$I)</x:f>
        <x:v>0</x:v>
      </x:c>
      <x:c r="F106" s="66"/>
      <x:c r="G106" s="66" t="n">
        <x:f>E106-F106</x:f>
        <x:v>0</x:v>
      </x:c>
      <x:c r="H106" s="64" t="n">
        <x:f>IFERROR(MAXIFS(Sales!$B:$B,Sales!$C:$C,B106),"")</x:f>
        <x:v>0</x:v>
      </x:c>
      <x:c r="I106" s="50"/>
      <x:c r="J106" s="50"/>
      <x:c r="K106" s="50"/>
      <x:c r="L106" s="50"/>
      <x:c r="M106" s="50"/>
      <x:c r="N106" s="50"/>
      <x:c r="O106" s="50"/>
    </x:row>
    <x:row r="107">
      <x:c r="A107" s="50"/>
      <x:c r="B107" s="50"/>
      <x:c r="C107" s="50"/>
      <x:c r="D107" s="50"/>
      <x:c r="E107" s="66" t="n">
        <x:f>SUMIF(Sales!$C:$C,B107,Sales!$I:$I)</x:f>
        <x:v>0</x:v>
      </x:c>
      <x:c r="F107" s="66"/>
      <x:c r="G107" s="66" t="n">
        <x:f>E107-F107</x:f>
        <x:v>0</x:v>
      </x:c>
      <x:c r="H107" s="64" t="n">
        <x:f>IFERROR(MAXIFS(Sales!$B:$B,Sales!$C:$C,B107),"")</x:f>
        <x:v>0</x:v>
      </x:c>
      <x:c r="I107" s="50"/>
      <x:c r="J107" s="50"/>
      <x:c r="K107" s="50"/>
      <x:c r="L107" s="50"/>
      <x:c r="M107" s="50"/>
      <x:c r="N107" s="50"/>
      <x:c r="O107" s="50"/>
    </x:row>
    <x:row r="108">
      <x:c r="A108" s="50"/>
      <x:c r="B108" s="50"/>
      <x:c r="C108" s="50"/>
      <x:c r="D108" s="50"/>
      <x:c r="E108" s="66" t="n">
        <x:f>SUMIF(Sales!$C:$C,B108,Sales!$I:$I)</x:f>
        <x:v>0</x:v>
      </x:c>
      <x:c r="F108" s="66"/>
      <x:c r="G108" s="66" t="n">
        <x:f>E108-F108</x:f>
        <x:v>0</x:v>
      </x:c>
      <x:c r="H108" s="64" t="n">
        <x:f>IFERROR(MAXIFS(Sales!$B:$B,Sales!$C:$C,B108),"")</x:f>
        <x:v>0</x:v>
      </x:c>
      <x:c r="I108" s="50"/>
      <x:c r="J108" s="50"/>
      <x:c r="K108" s="50"/>
      <x:c r="L108" s="50"/>
      <x:c r="M108" s="50"/>
      <x:c r="N108" s="50"/>
      <x:c r="O108" s="50"/>
    </x:row>
    <x:row r="109">
      <x:c r="A109" s="50"/>
      <x:c r="B109" s="50"/>
      <x:c r="C109" s="50"/>
      <x:c r="D109" s="50"/>
      <x:c r="E109" s="66" t="n">
        <x:f>SUMIF(Sales!$C:$C,B109,Sales!$I:$I)</x:f>
        <x:v>0</x:v>
      </x:c>
      <x:c r="F109" s="66"/>
      <x:c r="G109" s="66" t="n">
        <x:f>E109-F109</x:f>
        <x:v>0</x:v>
      </x:c>
      <x:c r="H109" s="64" t="n">
        <x:f>IFERROR(MAXIFS(Sales!$B:$B,Sales!$C:$C,B109),"")</x:f>
        <x:v>0</x:v>
      </x:c>
      <x:c r="I109" s="50"/>
      <x:c r="J109" s="50"/>
      <x:c r="K109" s="50"/>
      <x:c r="L109" s="50"/>
      <x:c r="M109" s="50"/>
      <x:c r="N109" s="50"/>
      <x:c r="O109" s="50"/>
    </x:row>
    <x:row r="110">
      <x:c r="A110" s="50"/>
      <x:c r="B110" s="50"/>
      <x:c r="C110" s="50"/>
      <x:c r="D110" s="50"/>
      <x:c r="E110" s="66" t="n">
        <x:f>SUMIF(Sales!$C:$C,B110,Sales!$I:$I)</x:f>
        <x:v>0</x:v>
      </x:c>
      <x:c r="F110" s="66"/>
      <x:c r="G110" s="66" t="n">
        <x:f>E110-F110</x:f>
        <x:v>0</x:v>
      </x:c>
      <x:c r="H110" s="64" t="n">
        <x:f>IFERROR(MAXIFS(Sales!$B:$B,Sales!$C:$C,B110),"")</x:f>
        <x:v>0</x:v>
      </x:c>
      <x:c r="I110" s="50"/>
      <x:c r="J110" s="50"/>
      <x:c r="K110" s="50"/>
      <x:c r="L110" s="50"/>
      <x:c r="M110" s="50"/>
      <x:c r="N110" s="50"/>
      <x:c r="O110" s="50"/>
    </x:row>
    <x:row r="111">
      <x:c r="A111" s="50"/>
      <x:c r="B111" s="50"/>
      <x:c r="C111" s="50"/>
      <x:c r="D111" s="50"/>
      <x:c r="E111" s="66" t="n">
        <x:f>SUMIF(Sales!$C:$C,B111,Sales!$I:$I)</x:f>
        <x:v>0</x:v>
      </x:c>
      <x:c r="F111" s="66"/>
      <x:c r="G111" s="66" t="n">
        <x:f>E111-F111</x:f>
        <x:v>0</x:v>
      </x:c>
      <x:c r="H111" s="64" t="n">
        <x:f>IFERROR(MAXIFS(Sales!$B:$B,Sales!$C:$C,B111),"")</x:f>
        <x:v>0</x:v>
      </x:c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50"/>
      <x:c r="C112" s="50"/>
      <x:c r="D112" s="50"/>
      <x:c r="E112" s="66" t="n">
        <x:f>SUMIF(Sales!$C:$C,B112,Sales!$I:$I)</x:f>
        <x:v>0</x:v>
      </x:c>
      <x:c r="F112" s="66"/>
      <x:c r="G112" s="66" t="n">
        <x:f>E112-F112</x:f>
        <x:v>0</x:v>
      </x:c>
      <x:c r="H112" s="64" t="n">
        <x:f>IFERROR(MAXIFS(Sales!$B:$B,Sales!$C:$C,B112),"")</x:f>
        <x:v>0</x:v>
      </x:c>
      <x:c r="I112" s="50"/>
      <x:c r="J112" s="50"/>
      <x:c r="K112" s="50"/>
      <x:c r="L112" s="50"/>
      <x:c r="M112" s="50"/>
      <x:c r="N112" s="50"/>
      <x:c r="O112" s="50"/>
    </x:row>
    <x:row r="113">
      <x:c r="A113" s="50"/>
      <x:c r="B113" s="50"/>
      <x:c r="C113" s="50"/>
      <x:c r="D113" s="50"/>
      <x:c r="E113" s="66" t="n">
        <x:f>SUMIF(Sales!$C:$C,B113,Sales!$I:$I)</x:f>
        <x:v>0</x:v>
      </x:c>
      <x:c r="F113" s="66"/>
      <x:c r="G113" s="66" t="n">
        <x:f>E113-F113</x:f>
        <x:v>0</x:v>
      </x:c>
      <x:c r="H113" s="64" t="n">
        <x:f>IFERROR(MAXIFS(Sales!$B:$B,Sales!$C:$C,B113),"")</x:f>
        <x:v>0</x:v>
      </x:c>
      <x:c r="I113" s="50"/>
      <x:c r="J113" s="50"/>
      <x:c r="K113" s="50"/>
      <x:c r="L113" s="50"/>
      <x:c r="M113" s="50"/>
      <x:c r="N113" s="50"/>
      <x:c r="O113" s="50"/>
    </x:row>
    <x:row r="114">
      <x:c r="A114" s="50"/>
      <x:c r="B114" s="50"/>
      <x:c r="C114" s="50"/>
      <x:c r="D114" s="50"/>
      <x:c r="E114" s="66" t="n">
        <x:f>SUMIF(Sales!$C:$C,B114,Sales!$I:$I)</x:f>
        <x:v>0</x:v>
      </x:c>
      <x:c r="F114" s="66"/>
      <x:c r="G114" s="66" t="n">
        <x:f>E114-F114</x:f>
        <x:v>0</x:v>
      </x:c>
      <x:c r="H114" s="64" t="n">
        <x:f>IFERROR(MAXIFS(Sales!$B:$B,Sales!$C:$C,B114),"")</x:f>
        <x:v>0</x:v>
      </x:c>
      <x:c r="I114" s="50"/>
      <x:c r="J114" s="50"/>
      <x:c r="K114" s="50"/>
      <x:c r="L114" s="50"/>
      <x:c r="M114" s="50"/>
      <x:c r="N114" s="50"/>
      <x:c r="O114" s="50"/>
    </x:row>
    <x:row r="115">
      <x:c r="A115" s="50"/>
      <x:c r="B115" s="50"/>
      <x:c r="C115" s="50"/>
      <x:c r="D115" s="50"/>
      <x:c r="E115" s="66" t="n">
        <x:f>SUMIF(Sales!$C:$C,B115,Sales!$I:$I)</x:f>
        <x:v>0</x:v>
      </x:c>
      <x:c r="F115" s="66"/>
      <x:c r="G115" s="66" t="n">
        <x:f>E115-F115</x:f>
        <x:v>0</x:v>
      </x:c>
      <x:c r="H115" s="64" t="n">
        <x:f>IFERROR(MAXIFS(Sales!$B:$B,Sales!$C:$C,B115),"")</x:f>
        <x:v>0</x:v>
      </x:c>
      <x:c r="I115" s="50"/>
      <x:c r="J115" s="50"/>
      <x:c r="K115" s="50"/>
      <x:c r="L115" s="50"/>
      <x:c r="M115" s="50"/>
      <x:c r="N115" s="50"/>
      <x:c r="O115" s="50"/>
    </x:row>
    <x:row r="116">
      <x:c r="A116" s="50"/>
      <x:c r="B116" s="50"/>
      <x:c r="C116" s="50"/>
      <x:c r="D116" s="50"/>
      <x:c r="E116" s="66" t="n">
        <x:f>SUMIF(Sales!$C:$C,B116,Sales!$I:$I)</x:f>
        <x:v>0</x:v>
      </x:c>
      <x:c r="F116" s="66"/>
      <x:c r="G116" s="66" t="n">
        <x:f>E116-F116</x:f>
        <x:v>0</x:v>
      </x:c>
      <x:c r="H116" s="64" t="n">
        <x:f>IFERROR(MAXIFS(Sales!$B:$B,Sales!$C:$C,B116),"")</x:f>
        <x:v>0</x:v>
      </x:c>
      <x:c r="I116" s="50"/>
      <x:c r="J116" s="50"/>
      <x:c r="K116" s="50"/>
      <x:c r="L116" s="50"/>
      <x:c r="M116" s="50"/>
      <x:c r="N116" s="50"/>
      <x:c r="O116" s="50"/>
    </x:row>
    <x:row r="117">
      <x:c r="A117" s="50"/>
      <x:c r="B117" s="50"/>
      <x:c r="C117" s="50"/>
      <x:c r="D117" s="50"/>
      <x:c r="E117" s="66" t="n">
        <x:f>SUMIF(Sales!$C:$C,B117,Sales!$I:$I)</x:f>
        <x:v>0</x:v>
      </x:c>
      <x:c r="F117" s="66"/>
      <x:c r="G117" s="66" t="n">
        <x:f>E117-F117</x:f>
        <x:v>0</x:v>
      </x:c>
      <x:c r="H117" s="64" t="n">
        <x:f>IFERROR(MAXIFS(Sales!$B:$B,Sales!$C:$C,B117),"")</x:f>
        <x:v>0</x:v>
      </x:c>
      <x:c r="I117" s="50"/>
      <x:c r="J117" s="50"/>
      <x:c r="K117" s="50"/>
      <x:c r="L117" s="50"/>
      <x:c r="M117" s="50"/>
      <x:c r="N117" s="50"/>
      <x:c r="O117" s="50"/>
    </x:row>
    <x:row r="118">
      <x:c r="A118" s="50"/>
      <x:c r="B118" s="50"/>
      <x:c r="C118" s="50"/>
      <x:c r="D118" s="50"/>
      <x:c r="E118" s="66" t="n">
        <x:f>SUMIF(Sales!$C:$C,B118,Sales!$I:$I)</x:f>
        <x:v>0</x:v>
      </x:c>
      <x:c r="F118" s="66"/>
      <x:c r="G118" s="66" t="n">
        <x:f>E118-F118</x:f>
        <x:v>0</x:v>
      </x:c>
      <x:c r="H118" s="64" t="n">
        <x:f>IFERROR(MAXIFS(Sales!$B:$B,Sales!$C:$C,B118),"")</x:f>
        <x:v>0</x:v>
      </x:c>
      <x:c r="I118" s="50"/>
      <x:c r="J118" s="50"/>
      <x:c r="K118" s="50"/>
      <x:c r="L118" s="50"/>
      <x:c r="M118" s="50"/>
      <x:c r="N118" s="50"/>
      <x:c r="O118" s="50"/>
    </x:row>
    <x:row r="119">
      <x:c r="A119" s="50"/>
      <x:c r="B119" s="50"/>
      <x:c r="C119" s="50"/>
      <x:c r="D119" s="50"/>
      <x:c r="E119" s="66" t="n">
        <x:f>SUMIF(Sales!$C:$C,B119,Sales!$I:$I)</x:f>
        <x:v>0</x:v>
      </x:c>
      <x:c r="F119" s="66"/>
      <x:c r="G119" s="66" t="n">
        <x:f>E119-F119</x:f>
        <x:v>0</x:v>
      </x:c>
      <x:c r="H119" s="64" t="n">
        <x:f>IFERROR(MAXIFS(Sales!$B:$B,Sales!$C:$C,B119),"")</x:f>
        <x:v>0</x:v>
      </x:c>
      <x:c r="I119" s="50"/>
      <x:c r="J119" s="50"/>
      <x:c r="K119" s="50"/>
      <x:c r="L119" s="50"/>
      <x:c r="M119" s="50"/>
      <x:c r="N119" s="50"/>
      <x:c r="O119" s="50"/>
    </x:row>
    <x:row r="120">
      <x:c r="A120" s="50"/>
      <x:c r="B120" s="50"/>
      <x:c r="C120" s="50"/>
      <x:c r="D120" s="50"/>
      <x:c r="E120" s="66" t="n">
        <x:f>SUMIF(Sales!$C:$C,B120,Sales!$I:$I)</x:f>
        <x:v>0</x:v>
      </x:c>
      <x:c r="F120" s="66"/>
      <x:c r="G120" s="66" t="n">
        <x:f>E120-F120</x:f>
        <x:v>0</x:v>
      </x:c>
      <x:c r="H120" s="64" t="n">
        <x:f>IFERROR(MAXIFS(Sales!$B:$B,Sales!$C:$C,B120),"")</x:f>
        <x:v>0</x:v>
      </x:c>
      <x:c r="I120" s="50"/>
      <x:c r="J120" s="50"/>
      <x:c r="K120" s="50"/>
      <x:c r="L120" s="50"/>
      <x:c r="M120" s="50"/>
      <x:c r="N120" s="50"/>
      <x:c r="O120" s="50"/>
    </x:row>
    <x:row r="121">
      <x:c r="A121" s="50"/>
      <x:c r="B121" s="50"/>
      <x:c r="C121" s="50"/>
      <x:c r="D121" s="50"/>
      <x:c r="E121" s="66" t="n">
        <x:f>SUMIF(Sales!$C:$C,B121,Sales!$I:$I)</x:f>
        <x:v>0</x:v>
      </x:c>
      <x:c r="F121" s="66"/>
      <x:c r="G121" s="66" t="n">
        <x:f>E121-F121</x:f>
        <x:v>0</x:v>
      </x:c>
      <x:c r="H121" s="64" t="n">
        <x:f>IFERROR(MAXIFS(Sales!$B:$B,Sales!$C:$C,B121),"")</x:f>
        <x:v>0</x:v>
      </x:c>
      <x:c r="I121" s="50"/>
      <x:c r="J121" s="50"/>
      <x:c r="K121" s="50"/>
      <x:c r="L121" s="50"/>
      <x:c r="M121" s="50"/>
      <x:c r="N121" s="50"/>
      <x:c r="O121" s="50"/>
    </x:row>
    <x:row r="122">
      <x:c r="A122" s="50"/>
      <x:c r="B122" s="50"/>
      <x:c r="C122" s="50"/>
      <x:c r="D122" s="50"/>
      <x:c r="E122" s="66" t="n">
        <x:f>SUMIF(Sales!$C:$C,B122,Sales!$I:$I)</x:f>
        <x:v>0</x:v>
      </x:c>
      <x:c r="F122" s="66"/>
      <x:c r="G122" s="66" t="n">
        <x:f>E122-F122</x:f>
        <x:v>0</x:v>
      </x:c>
      <x:c r="H122" s="64" t="n">
        <x:f>IFERROR(MAXIFS(Sales!$B:$B,Sales!$C:$C,B122),"")</x:f>
        <x:v>0</x:v>
      </x:c>
      <x:c r="I122" s="50"/>
      <x:c r="J122" s="50"/>
      <x:c r="K122" s="50"/>
      <x:c r="L122" s="50"/>
      <x:c r="M122" s="50"/>
      <x:c r="N122" s="50"/>
      <x:c r="O122" s="50"/>
    </x:row>
    <x:row r="123">
      <x:c r="A123" s="50"/>
      <x:c r="B123" s="50"/>
      <x:c r="C123" s="50"/>
      <x:c r="D123" s="50"/>
      <x:c r="E123" s="66" t="n">
        <x:f>SUMIF(Sales!$C:$C,B123,Sales!$I:$I)</x:f>
        <x:v>0</x:v>
      </x:c>
      <x:c r="F123" s="66"/>
      <x:c r="G123" s="66" t="n">
        <x:f>E123-F123</x:f>
        <x:v>0</x:v>
      </x:c>
      <x:c r="H123" s="64" t="n">
        <x:f>IFERROR(MAXIFS(Sales!$B:$B,Sales!$C:$C,B123),"")</x:f>
        <x:v>0</x:v>
      </x:c>
      <x:c r="I123" s="50"/>
      <x:c r="J123" s="50"/>
      <x:c r="K123" s="50"/>
      <x:c r="L123" s="50"/>
      <x:c r="M123" s="50"/>
      <x:c r="N123" s="50"/>
      <x:c r="O123" s="50"/>
    </x:row>
    <x:row r="124">
      <x:c r="A124" s="50"/>
      <x:c r="B124" s="50"/>
      <x:c r="C124" s="50"/>
      <x:c r="D124" s="50"/>
      <x:c r="E124" s="66" t="n">
        <x:f>SUMIF(Sales!$C:$C,B124,Sales!$I:$I)</x:f>
        <x:v>0</x:v>
      </x:c>
      <x:c r="F124" s="66"/>
      <x:c r="G124" s="66" t="n">
        <x:f>E124-F124</x:f>
        <x:v>0</x:v>
      </x:c>
      <x:c r="H124" s="64" t="n">
        <x:f>IFERROR(MAXIFS(Sales!$B:$B,Sales!$C:$C,B124),"")</x:f>
        <x:v>0</x:v>
      </x:c>
      <x:c r="I124" s="50"/>
      <x:c r="J124" s="50"/>
      <x:c r="K124" s="50"/>
      <x:c r="L124" s="50"/>
      <x:c r="M124" s="50"/>
      <x:c r="N124" s="50"/>
      <x:c r="O124" s="50"/>
    </x:row>
    <x:row r="125">
      <x:c r="A125" s="50"/>
      <x:c r="B125" s="50"/>
      <x:c r="C125" s="50"/>
      <x:c r="D125" s="50"/>
      <x:c r="E125" s="66" t="n">
        <x:f>SUMIF(Sales!$C:$C,B125,Sales!$I:$I)</x:f>
        <x:v>0</x:v>
      </x:c>
      <x:c r="F125" s="66"/>
      <x:c r="G125" s="66" t="n">
        <x:f>E125-F125</x:f>
        <x:v>0</x:v>
      </x:c>
      <x:c r="H125" s="64" t="n">
        <x:f>IFERROR(MAXIFS(Sales!$B:$B,Sales!$C:$C,B125),"")</x:f>
        <x:v>0</x:v>
      </x:c>
      <x:c r="I125" s="50"/>
      <x:c r="J125" s="50"/>
      <x:c r="K125" s="50"/>
      <x:c r="L125" s="50"/>
      <x:c r="M125" s="50"/>
      <x:c r="N125" s="50"/>
      <x:c r="O125" s="50"/>
    </x:row>
    <x:row r="126">
      <x:c r="A126" s="50"/>
      <x:c r="B126" s="50"/>
      <x:c r="C126" s="50"/>
      <x:c r="D126" s="50"/>
      <x:c r="E126" s="66" t="n">
        <x:f>SUMIF(Sales!$C:$C,B126,Sales!$I:$I)</x:f>
        <x:v>0</x:v>
      </x:c>
      <x:c r="F126" s="66"/>
      <x:c r="G126" s="66" t="n">
        <x:f>E126-F126</x:f>
        <x:v>0</x:v>
      </x:c>
      <x:c r="H126" s="64" t="n">
        <x:f>IFERROR(MAXIFS(Sales!$B:$B,Sales!$C:$C,B126),"")</x:f>
        <x:v>0</x:v>
      </x:c>
      <x:c r="I126" s="50"/>
      <x:c r="J126" s="50"/>
      <x:c r="K126" s="50"/>
      <x:c r="L126" s="50"/>
      <x:c r="M126" s="50"/>
      <x:c r="N126" s="50"/>
      <x:c r="O126" s="50"/>
    </x:row>
    <x:row r="127">
      <x:c r="A127" s="50"/>
      <x:c r="B127" s="50"/>
      <x:c r="C127" s="50"/>
      <x:c r="D127" s="50"/>
      <x:c r="E127" s="66" t="n">
        <x:f>SUMIF(Sales!$C:$C,B127,Sales!$I:$I)</x:f>
        <x:v>0</x:v>
      </x:c>
      <x:c r="F127" s="66"/>
      <x:c r="G127" s="66" t="n">
        <x:f>E127-F127</x:f>
        <x:v>0</x:v>
      </x:c>
      <x:c r="H127" s="64" t="n">
        <x:f>IFERROR(MAXIFS(Sales!$B:$B,Sales!$C:$C,B127),"")</x:f>
        <x:v>0</x:v>
      </x:c>
      <x:c r="I127" s="50"/>
      <x:c r="J127" s="50"/>
      <x:c r="K127" s="50"/>
      <x:c r="L127" s="50"/>
      <x:c r="M127" s="50"/>
      <x:c r="N127" s="50"/>
      <x:c r="O127" s="50"/>
    </x:row>
    <x:row r="128">
      <x:c r="A128" s="50"/>
      <x:c r="B128" s="50"/>
      <x:c r="C128" s="50"/>
      <x:c r="D128" s="50"/>
      <x:c r="E128" s="66" t="n">
        <x:f>SUMIF(Sales!$C:$C,B128,Sales!$I:$I)</x:f>
        <x:v>0</x:v>
      </x:c>
      <x:c r="F128" s="66"/>
      <x:c r="G128" s="66" t="n">
        <x:f>E128-F128</x:f>
        <x:v>0</x:v>
      </x:c>
      <x:c r="H128" s="64" t="n">
        <x:f>IFERROR(MAXIFS(Sales!$B:$B,Sales!$C:$C,B128),"")</x:f>
        <x:v>0</x:v>
      </x:c>
      <x:c r="I128" s="50"/>
      <x:c r="J128" s="50"/>
      <x:c r="K128" s="50"/>
      <x:c r="L128" s="50"/>
      <x:c r="M128" s="50"/>
      <x:c r="N128" s="50"/>
      <x:c r="O128" s="50"/>
    </x:row>
    <x:row r="129">
      <x:c r="A129" s="50"/>
      <x:c r="B129" s="50"/>
      <x:c r="C129" s="50"/>
      <x:c r="D129" s="50"/>
      <x:c r="E129" s="66" t="n">
        <x:f>SUMIF(Sales!$C:$C,B129,Sales!$I:$I)</x:f>
        <x:v>0</x:v>
      </x:c>
      <x:c r="F129" s="66"/>
      <x:c r="G129" s="66" t="n">
        <x:f>E129-F129</x:f>
        <x:v>0</x:v>
      </x:c>
      <x:c r="H129" s="64" t="n">
        <x:f>IFERROR(MAXIFS(Sales!$B:$B,Sales!$C:$C,B129),"")</x:f>
        <x:v>0</x:v>
      </x:c>
      <x:c r="I129" s="50"/>
      <x:c r="J129" s="50"/>
      <x:c r="K129" s="50"/>
      <x:c r="L129" s="50"/>
      <x:c r="M129" s="50"/>
      <x:c r="N129" s="50"/>
      <x:c r="O129" s="50"/>
    </x:row>
    <x:row r="130">
      <x:c r="A130" s="50"/>
      <x:c r="B130" s="50"/>
      <x:c r="C130" s="50"/>
      <x:c r="D130" s="50"/>
      <x:c r="E130" s="66" t="n">
        <x:f>SUMIF(Sales!$C:$C,B130,Sales!$I:$I)</x:f>
        <x:v>0</x:v>
      </x:c>
      <x:c r="F130" s="66"/>
      <x:c r="G130" s="66" t="n">
        <x:f>E130-F130</x:f>
        <x:v>0</x:v>
      </x:c>
      <x:c r="H130" s="64" t="n">
        <x:f>IFERROR(MAXIFS(Sales!$B:$B,Sales!$C:$C,B130),"")</x:f>
        <x:v>0</x:v>
      </x:c>
      <x:c r="I130" s="50"/>
      <x:c r="J130" s="50"/>
      <x:c r="K130" s="50"/>
      <x:c r="L130" s="50"/>
      <x:c r="M130" s="50"/>
      <x:c r="N130" s="50"/>
      <x:c r="O130" s="50"/>
    </x:row>
    <x:row r="131">
      <x:c r="A131" s="50"/>
      <x:c r="B131" s="50"/>
      <x:c r="C131" s="50"/>
      <x:c r="D131" s="50"/>
      <x:c r="E131" s="66" t="n">
        <x:f>SUMIF(Sales!$C:$C,B131,Sales!$I:$I)</x:f>
        <x:v>0</x:v>
      </x:c>
      <x:c r="F131" s="66"/>
      <x:c r="G131" s="66" t="n">
        <x:f>E131-F131</x:f>
        <x:v>0</x:v>
      </x:c>
      <x:c r="H131" s="64" t="n">
        <x:f>IFERROR(MAXIFS(Sales!$B:$B,Sales!$C:$C,B131),"")</x:f>
        <x:v>0</x:v>
      </x:c>
      <x:c r="I131" s="50"/>
      <x:c r="J131" s="50"/>
      <x:c r="K131" s="50"/>
      <x:c r="L131" s="50"/>
      <x:c r="M131" s="50"/>
      <x:c r="N131" s="50"/>
      <x:c r="O131" s="50"/>
    </x:row>
    <x:row r="132">
      <x:c r="A132" s="50"/>
      <x:c r="B132" s="50"/>
      <x:c r="C132" s="50"/>
      <x:c r="D132" s="50"/>
      <x:c r="E132" s="66" t="n">
        <x:f>SUMIF(Sales!$C:$C,B132,Sales!$I:$I)</x:f>
        <x:v>0</x:v>
      </x:c>
      <x:c r="F132" s="66"/>
      <x:c r="G132" s="66" t="n">
        <x:f>E132-F132</x:f>
        <x:v>0</x:v>
      </x:c>
      <x:c r="H132" s="64" t="n">
        <x:f>IFERROR(MAXIFS(Sales!$B:$B,Sales!$C:$C,B132),"")</x:f>
        <x:v>0</x:v>
      </x:c>
      <x:c r="I132" s="50"/>
      <x:c r="J132" s="50"/>
      <x:c r="K132" s="50"/>
      <x:c r="L132" s="50"/>
      <x:c r="M132" s="50"/>
      <x:c r="N132" s="50"/>
      <x:c r="O132" s="50"/>
    </x:row>
    <x:row r="133">
      <x:c r="A133" s="50"/>
      <x:c r="B133" s="50"/>
      <x:c r="C133" s="50"/>
      <x:c r="D133" s="50"/>
      <x:c r="E133" s="66" t="n">
        <x:f>SUMIF(Sales!$C:$C,B133,Sales!$I:$I)</x:f>
        <x:v>0</x:v>
      </x:c>
      <x:c r="F133" s="66"/>
      <x:c r="G133" s="66" t="n">
        <x:f>E133-F133</x:f>
        <x:v>0</x:v>
      </x:c>
      <x:c r="H133" s="64" t="n">
        <x:f>IFERROR(MAXIFS(Sales!$B:$B,Sales!$C:$C,B133),"")</x:f>
        <x:v>0</x:v>
      </x:c>
      <x:c r="I133" s="50"/>
      <x:c r="J133" s="50"/>
      <x:c r="K133" s="50"/>
      <x:c r="L133" s="50"/>
      <x:c r="M133" s="50"/>
      <x:c r="N133" s="50"/>
      <x:c r="O133" s="50"/>
    </x:row>
    <x:row r="134">
      <x:c r="A134" s="50"/>
      <x:c r="B134" s="50"/>
      <x:c r="C134" s="50"/>
      <x:c r="D134" s="50"/>
      <x:c r="E134" s="66" t="n">
        <x:f>SUMIF(Sales!$C:$C,B134,Sales!$I:$I)</x:f>
        <x:v>0</x:v>
      </x:c>
      <x:c r="F134" s="66"/>
      <x:c r="G134" s="66" t="n">
        <x:f>E134-F134</x:f>
        <x:v>0</x:v>
      </x:c>
      <x:c r="H134" s="64" t="n">
        <x:f>IFERROR(MAXIFS(Sales!$B:$B,Sales!$C:$C,B134),"")</x:f>
        <x:v>0</x:v>
      </x:c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50"/>
      <x:c r="C135" s="50"/>
      <x:c r="D135" s="50"/>
      <x:c r="E135" s="66" t="n">
        <x:f>SUMIF(Sales!$C:$C,B135,Sales!$I:$I)</x:f>
        <x:v>0</x:v>
      </x:c>
      <x:c r="F135" s="66"/>
      <x:c r="G135" s="66" t="n">
        <x:f>E135-F135</x:f>
        <x:v>0</x:v>
      </x:c>
      <x:c r="H135" s="64" t="n">
        <x:f>IFERROR(MAXIFS(Sales!$B:$B,Sales!$C:$C,B135),"")</x:f>
        <x:v>0</x:v>
      </x:c>
      <x:c r="I135" s="50"/>
      <x:c r="J135" s="50"/>
      <x:c r="K135" s="50"/>
      <x:c r="L135" s="50"/>
      <x:c r="M135" s="50"/>
      <x:c r="N135" s="50"/>
      <x:c r="O135" s="50"/>
    </x:row>
    <x:row r="136">
      <x:c r="A136" s="50"/>
      <x:c r="B136" s="50"/>
      <x:c r="C136" s="50"/>
      <x:c r="D136" s="50"/>
      <x:c r="E136" s="66" t="n">
        <x:f>SUMIF(Sales!$C:$C,B136,Sales!$I:$I)</x:f>
        <x:v>0</x:v>
      </x:c>
      <x:c r="F136" s="66"/>
      <x:c r="G136" s="66" t="n">
        <x:f>E136-F136</x:f>
        <x:v>0</x:v>
      </x:c>
      <x:c r="H136" s="64" t="n">
        <x:f>IFERROR(MAXIFS(Sales!$B:$B,Sales!$C:$C,B136),"")</x:f>
        <x:v>0</x:v>
      </x:c>
      <x:c r="I136" s="50"/>
      <x:c r="J136" s="50"/>
      <x:c r="K136" s="50"/>
      <x:c r="L136" s="50"/>
      <x:c r="M136" s="50"/>
      <x:c r="N136" s="50"/>
      <x:c r="O136" s="50"/>
    </x:row>
    <x:row r="137">
      <x:c r="A137" s="50"/>
      <x:c r="B137" s="50"/>
      <x:c r="C137" s="50"/>
      <x:c r="D137" s="50"/>
      <x:c r="E137" s="66" t="n">
        <x:f>SUMIF(Sales!$C:$C,B137,Sales!$I:$I)</x:f>
        <x:v>0</x:v>
      </x:c>
      <x:c r="F137" s="66"/>
      <x:c r="G137" s="66" t="n">
        <x:f>E137-F137</x:f>
        <x:v>0</x:v>
      </x:c>
      <x:c r="H137" s="64" t="n">
        <x:f>IFERROR(MAXIFS(Sales!$B:$B,Sales!$C:$C,B137),"")</x:f>
        <x:v>0</x:v>
      </x:c>
      <x:c r="I137" s="50"/>
      <x:c r="J137" s="50"/>
      <x:c r="K137" s="50"/>
      <x:c r="L137" s="50"/>
      <x:c r="M137" s="50"/>
      <x:c r="N137" s="50"/>
      <x:c r="O137" s="50"/>
    </x:row>
    <x:row r="138">
      <x:c r="A138" s="50"/>
      <x:c r="B138" s="50"/>
      <x:c r="C138" s="50"/>
      <x:c r="D138" s="50"/>
      <x:c r="E138" s="66" t="n">
        <x:f>SUMIF(Sales!$C:$C,B138,Sales!$I:$I)</x:f>
        <x:v>0</x:v>
      </x:c>
      <x:c r="F138" s="66"/>
      <x:c r="G138" s="66" t="n">
        <x:f>E138-F138</x:f>
        <x:v>0</x:v>
      </x:c>
      <x:c r="H138" s="64" t="n">
        <x:f>IFERROR(MAXIFS(Sales!$B:$B,Sales!$C:$C,B138),"")</x:f>
        <x:v>0</x:v>
      </x:c>
      <x:c r="I138" s="50"/>
      <x:c r="J138" s="50"/>
      <x:c r="K138" s="50"/>
      <x:c r="L138" s="50"/>
      <x:c r="M138" s="50"/>
      <x:c r="N138" s="50"/>
      <x:c r="O138" s="50"/>
    </x:row>
    <x:row r="139">
      <x:c r="A139" s="50"/>
      <x:c r="B139" s="50"/>
      <x:c r="C139" s="50"/>
      <x:c r="D139" s="50"/>
      <x:c r="E139" s="66" t="n">
        <x:f>SUMIF(Sales!$C:$C,B139,Sales!$I:$I)</x:f>
        <x:v>0</x:v>
      </x:c>
      <x:c r="F139" s="66"/>
      <x:c r="G139" s="66" t="n">
        <x:f>E139-F139</x:f>
        <x:v>0</x:v>
      </x:c>
      <x:c r="H139" s="64" t="n">
        <x:f>IFERROR(MAXIFS(Sales!$B:$B,Sales!$C:$C,B139),"")</x:f>
        <x:v>0</x:v>
      </x:c>
      <x:c r="I139" s="50"/>
      <x:c r="J139" s="50"/>
      <x:c r="K139" s="50"/>
      <x:c r="L139" s="50"/>
      <x:c r="M139" s="50"/>
      <x:c r="N139" s="50"/>
      <x:c r="O139" s="50"/>
    </x:row>
    <x:row r="140">
      <x:c r="A140" s="50"/>
      <x:c r="B140" s="50"/>
      <x:c r="C140" s="50"/>
      <x:c r="D140" s="50"/>
      <x:c r="E140" s="66" t="n">
        <x:f>SUMIF(Sales!$C:$C,B140,Sales!$I:$I)</x:f>
        <x:v>0</x:v>
      </x:c>
      <x:c r="F140" s="66"/>
      <x:c r="G140" s="66" t="n">
        <x:f>E140-F140</x:f>
        <x:v>0</x:v>
      </x:c>
      <x:c r="H140" s="64" t="n">
        <x:f>IFERROR(MAXIFS(Sales!$B:$B,Sales!$C:$C,B140),"")</x:f>
        <x:v>0</x:v>
      </x:c>
      <x:c r="I140" s="50"/>
      <x:c r="J140" s="50"/>
      <x:c r="K140" s="50"/>
      <x:c r="L140" s="50"/>
      <x:c r="M140" s="50"/>
      <x:c r="N140" s="50"/>
      <x:c r="O140" s="50"/>
    </x:row>
    <x:row r="141">
      <x:c r="A141" s="50"/>
      <x:c r="B141" s="50"/>
      <x:c r="C141" s="50"/>
      <x:c r="D141" s="50"/>
      <x:c r="E141" s="66" t="n">
        <x:f>SUMIF(Sales!$C:$C,B141,Sales!$I:$I)</x:f>
        <x:v>0</x:v>
      </x:c>
      <x:c r="F141" s="66"/>
      <x:c r="G141" s="66" t="n">
        <x:f>E141-F141</x:f>
        <x:v>0</x:v>
      </x:c>
      <x:c r="H141" s="64" t="n">
        <x:f>IFERROR(MAXIFS(Sales!$B:$B,Sales!$C:$C,B141),"")</x:f>
        <x:v>0</x:v>
      </x:c>
      <x:c r="I141" s="50"/>
      <x:c r="J141" s="50"/>
      <x:c r="K141" s="50"/>
      <x:c r="L141" s="50"/>
      <x:c r="M141" s="50"/>
      <x:c r="N141" s="50"/>
      <x:c r="O141" s="50"/>
    </x:row>
    <x:row r="142">
      <x:c r="A142" s="50"/>
      <x:c r="B142" s="50"/>
      <x:c r="C142" s="50"/>
      <x:c r="D142" s="50"/>
      <x:c r="E142" s="66" t="n">
        <x:f>SUMIF(Sales!$C:$C,B142,Sales!$I:$I)</x:f>
        <x:v>0</x:v>
      </x:c>
      <x:c r="F142" s="66"/>
      <x:c r="G142" s="66" t="n">
        <x:f>E142-F142</x:f>
        <x:v>0</x:v>
      </x:c>
      <x:c r="H142" s="64" t="n">
        <x:f>IFERROR(MAXIFS(Sales!$B:$B,Sales!$C:$C,B142),"")</x:f>
        <x:v>0</x:v>
      </x:c>
      <x:c r="I142" s="50"/>
      <x:c r="J142" s="50"/>
      <x:c r="K142" s="50"/>
      <x:c r="L142" s="50"/>
      <x:c r="M142" s="50"/>
      <x:c r="N142" s="50"/>
      <x:c r="O142" s="50"/>
    </x:row>
    <x:row r="143">
      <x:c r="A143" s="50"/>
      <x:c r="B143" s="50"/>
      <x:c r="C143" s="50"/>
      <x:c r="D143" s="50"/>
      <x:c r="E143" s="66" t="n">
        <x:f>SUMIF(Sales!$C:$C,B143,Sales!$I:$I)</x:f>
        <x:v>0</x:v>
      </x:c>
      <x:c r="F143" s="66"/>
      <x:c r="G143" s="66" t="n">
        <x:f>E143-F143</x:f>
        <x:v>0</x:v>
      </x:c>
      <x:c r="H143" s="64" t="n">
        <x:f>IFERROR(MAXIFS(Sales!$B:$B,Sales!$C:$C,B143),"")</x:f>
        <x:v>0</x:v>
      </x:c>
      <x:c r="I143" s="50"/>
      <x:c r="J143" s="50"/>
      <x:c r="K143" s="50"/>
      <x:c r="L143" s="50"/>
      <x:c r="M143" s="50"/>
      <x:c r="N143" s="50"/>
      <x:c r="O143" s="50"/>
    </x:row>
    <x:row r="144">
      <x:c r="A144" s="50"/>
      <x:c r="B144" s="50"/>
      <x:c r="C144" s="50"/>
      <x:c r="D144" s="50"/>
      <x:c r="E144" s="66" t="n">
        <x:f>SUMIF(Sales!$C:$C,B144,Sales!$I:$I)</x:f>
        <x:v>0</x:v>
      </x:c>
      <x:c r="F144" s="66"/>
      <x:c r="G144" s="66" t="n">
        <x:f>E144-F144</x:f>
        <x:v>0</x:v>
      </x:c>
      <x:c r="H144" s="64" t="n">
        <x:f>IFERROR(MAXIFS(Sales!$B:$B,Sales!$C:$C,B144),"")</x:f>
        <x:v>0</x:v>
      </x:c>
      <x:c r="I144" s="50"/>
      <x:c r="J144" s="50"/>
      <x:c r="K144" s="50"/>
      <x:c r="L144" s="50"/>
      <x:c r="M144" s="50"/>
      <x:c r="N144" s="50"/>
      <x:c r="O144" s="50"/>
    </x:row>
    <x:row r="145">
      <x:c r="A145" s="50"/>
      <x:c r="B145" s="50"/>
      <x:c r="C145" s="50"/>
      <x:c r="D145" s="50"/>
      <x:c r="E145" s="66" t="n">
        <x:f>SUMIF(Sales!$C:$C,B145,Sales!$I:$I)</x:f>
        <x:v>0</x:v>
      </x:c>
      <x:c r="F145" s="66"/>
      <x:c r="G145" s="66" t="n">
        <x:f>E145-F145</x:f>
        <x:v>0</x:v>
      </x:c>
      <x:c r="H145" s="64" t="n">
        <x:f>IFERROR(MAXIFS(Sales!$B:$B,Sales!$C:$C,B145),"")</x:f>
        <x:v>0</x:v>
      </x:c>
      <x:c r="I145" s="50"/>
      <x:c r="J145" s="50"/>
      <x:c r="K145" s="50"/>
      <x:c r="L145" s="50"/>
      <x:c r="M145" s="50"/>
      <x:c r="N145" s="50"/>
      <x:c r="O145" s="50"/>
    </x:row>
    <x:row r="146">
      <x:c r="A146" s="50"/>
      <x:c r="B146" s="50"/>
      <x:c r="C146" s="50"/>
      <x:c r="D146" s="50"/>
      <x:c r="E146" s="66" t="n">
        <x:f>SUMIF(Sales!$C:$C,B146,Sales!$I:$I)</x:f>
        <x:v>0</x:v>
      </x:c>
      <x:c r="F146" s="66"/>
      <x:c r="G146" s="66" t="n">
        <x:f>E146-F146</x:f>
        <x:v>0</x:v>
      </x:c>
      <x:c r="H146" s="64" t="n">
        <x:f>IFERROR(MAXIFS(Sales!$B:$B,Sales!$C:$C,B146),"")</x:f>
        <x:v>0</x:v>
      </x:c>
      <x:c r="I146" s="50"/>
      <x:c r="J146" s="50"/>
      <x:c r="K146" s="50"/>
      <x:c r="L146" s="50"/>
      <x:c r="M146" s="50"/>
      <x:c r="N146" s="50"/>
      <x:c r="O146" s="50"/>
    </x:row>
    <x:row r="147">
      <x:c r="A147" s="50"/>
      <x:c r="B147" s="50"/>
      <x:c r="C147" s="50"/>
      <x:c r="D147" s="50"/>
      <x:c r="E147" s="66" t="n">
        <x:f>SUMIF(Sales!$C:$C,B147,Sales!$I:$I)</x:f>
        <x:v>0</x:v>
      </x:c>
      <x:c r="F147" s="66"/>
      <x:c r="G147" s="66" t="n">
        <x:f>E147-F147</x:f>
        <x:v>0</x:v>
      </x:c>
      <x:c r="H147" s="64" t="n">
        <x:f>IFERROR(MAXIFS(Sales!$B:$B,Sales!$C:$C,B147),"")</x:f>
        <x:v>0</x:v>
      </x:c>
      <x:c r="I147" s="50"/>
      <x:c r="J147" s="50"/>
      <x:c r="K147" s="50"/>
      <x:c r="L147" s="50"/>
      <x:c r="M147" s="50"/>
      <x:c r="N147" s="50"/>
      <x:c r="O147" s="50"/>
    </x:row>
    <x:row r="148">
      <x:c r="A148" s="50"/>
      <x:c r="B148" s="50"/>
      <x:c r="C148" s="50"/>
      <x:c r="D148" s="50"/>
      <x:c r="E148" s="66" t="n">
        <x:f>SUMIF(Sales!$C:$C,B148,Sales!$I:$I)</x:f>
        <x:v>0</x:v>
      </x:c>
      <x:c r="F148" s="66"/>
      <x:c r="G148" s="66" t="n">
        <x:f>E148-F148</x:f>
        <x:v>0</x:v>
      </x:c>
      <x:c r="H148" s="64" t="n">
        <x:f>IFERROR(MAXIFS(Sales!$B:$B,Sales!$C:$C,B148),"")</x:f>
        <x:v>0</x:v>
      </x:c>
      <x:c r="I148" s="50"/>
      <x:c r="J148" s="50"/>
      <x:c r="K148" s="50"/>
      <x:c r="L148" s="50"/>
      <x:c r="M148" s="50"/>
      <x:c r="N148" s="50"/>
      <x:c r="O148" s="50"/>
    </x:row>
    <x:row r="149">
      <x:c r="A149" s="50"/>
      <x:c r="B149" s="50"/>
      <x:c r="C149" s="50"/>
      <x:c r="D149" s="50"/>
      <x:c r="E149" s="66" t="n">
        <x:f>SUMIF(Sales!$C:$C,B149,Sales!$I:$I)</x:f>
        <x:v>0</x:v>
      </x:c>
      <x:c r="F149" s="66"/>
      <x:c r="G149" s="66" t="n">
        <x:f>E149-F149</x:f>
        <x:v>0</x:v>
      </x:c>
      <x:c r="H149" s="64" t="n">
        <x:f>IFERROR(MAXIFS(Sales!$B:$B,Sales!$C:$C,B149),"")</x:f>
        <x:v>0</x:v>
      </x:c>
      <x:c r="I149" s="50"/>
      <x:c r="J149" s="50"/>
      <x:c r="K149" s="50"/>
      <x:c r="L149" s="50"/>
      <x:c r="M149" s="50"/>
      <x:c r="N149" s="50"/>
      <x:c r="O149" s="50"/>
    </x:row>
    <x:row r="150">
      <x:c r="A150" s="50"/>
      <x:c r="B150" s="50"/>
      <x:c r="C150" s="50"/>
      <x:c r="D150" s="50"/>
      <x:c r="E150" s="66" t="n">
        <x:f>SUMIF(Sales!$C:$C,B150,Sales!$I:$I)</x:f>
        <x:v>0</x:v>
      </x:c>
      <x:c r="F150" s="66"/>
      <x:c r="G150" s="66" t="n">
        <x:f>E150-F150</x:f>
        <x:v>0</x:v>
      </x:c>
      <x:c r="H150" s="64" t="n">
        <x:f>IFERROR(MAXIFS(Sales!$B:$B,Sales!$C:$C,B150),"")</x:f>
        <x:v>0</x:v>
      </x:c>
      <x:c r="I150" s="50"/>
      <x:c r="J150" s="50"/>
      <x:c r="K150" s="50"/>
      <x:c r="L150" s="50"/>
      <x:c r="M150" s="50"/>
      <x:c r="N150" s="50"/>
      <x:c r="O150" s="50"/>
    </x:row>
    <x:row r="151">
      <x:c r="A151" s="50"/>
      <x:c r="B151" s="50"/>
      <x:c r="C151" s="50"/>
      <x:c r="D151" s="50"/>
      <x:c r="E151" s="66" t="n">
        <x:f>SUMIF(Sales!$C:$C,B151,Sales!$I:$I)</x:f>
        <x:v>0</x:v>
      </x:c>
      <x:c r="F151" s="66"/>
      <x:c r="G151" s="66" t="n">
        <x:f>E151-F151</x:f>
        <x:v>0</x:v>
      </x:c>
      <x:c r="H151" s="64" t="n">
        <x:f>IFERROR(MAXIFS(Sales!$B:$B,Sales!$C:$C,B151),"")</x:f>
        <x:v>0</x:v>
      </x:c>
      <x:c r="I151" s="50"/>
      <x:c r="J151" s="50"/>
      <x:c r="K151" s="50"/>
      <x:c r="L151" s="50"/>
      <x:c r="M151" s="50"/>
      <x:c r="N151" s="50"/>
      <x:c r="O151" s="50"/>
    </x:row>
    <x:row r="152">
      <x:c r="A152" s="50"/>
      <x:c r="B152" s="50"/>
      <x:c r="C152" s="50"/>
      <x:c r="D152" s="50"/>
      <x:c r="E152" s="66" t="n">
        <x:f>SUMIF(Sales!$C:$C,B152,Sales!$I:$I)</x:f>
        <x:v>0</x:v>
      </x:c>
      <x:c r="F152" s="66"/>
      <x:c r="G152" s="66" t="n">
        <x:f>E152-F152</x:f>
        <x:v>0</x:v>
      </x:c>
      <x:c r="H152" s="64" t="n">
        <x:f>IFERROR(MAXIFS(Sales!$B:$B,Sales!$C:$C,B152),"")</x:f>
        <x:v>0</x:v>
      </x:c>
      <x:c r="I152" s="50"/>
      <x:c r="J152" s="50"/>
      <x:c r="K152" s="50"/>
      <x:c r="L152" s="50"/>
      <x:c r="M152" s="50"/>
      <x:c r="N152" s="50"/>
      <x:c r="O152" s="50"/>
    </x:row>
    <x:row r="153">
      <x:c r="A153" s="50"/>
      <x:c r="B153" s="50"/>
      <x:c r="C153" s="50"/>
      <x:c r="D153" s="50"/>
      <x:c r="E153" s="66" t="n">
        <x:f>SUMIF(Sales!$C:$C,B153,Sales!$I:$I)</x:f>
        <x:v>0</x:v>
      </x:c>
      <x:c r="F153" s="66"/>
      <x:c r="G153" s="66" t="n">
        <x:f>E153-F153</x:f>
        <x:v>0</x:v>
      </x:c>
      <x:c r="H153" s="64" t="n">
        <x:f>IFERROR(MAXIFS(Sales!$B:$B,Sales!$C:$C,B153),"")</x:f>
        <x:v>0</x:v>
      </x:c>
      <x:c r="I153" s="50"/>
      <x:c r="J153" s="50"/>
      <x:c r="K153" s="50"/>
      <x:c r="L153" s="50"/>
      <x:c r="M153" s="50"/>
      <x:c r="N153" s="50"/>
      <x:c r="O153" s="50"/>
    </x:row>
    <x:row r="154">
      <x:c r="A154" s="50"/>
      <x:c r="B154" s="50"/>
      <x:c r="C154" s="50"/>
      <x:c r="D154" s="50"/>
      <x:c r="E154" s="66" t="n">
        <x:f>SUMIF(Sales!$C:$C,B154,Sales!$I:$I)</x:f>
        <x:v>0</x:v>
      </x:c>
      <x:c r="F154" s="66"/>
      <x:c r="G154" s="66" t="n">
        <x:f>E154-F154</x:f>
        <x:v>0</x:v>
      </x:c>
      <x:c r="H154" s="64" t="n">
        <x:f>IFERROR(MAXIFS(Sales!$B:$B,Sales!$C:$C,B154),"")</x:f>
        <x:v>0</x:v>
      </x:c>
      <x:c r="I154" s="50"/>
      <x:c r="J154" s="50"/>
      <x:c r="K154" s="50"/>
      <x:c r="L154" s="50"/>
      <x:c r="M154" s="50"/>
      <x:c r="N154" s="50"/>
      <x:c r="O154" s="50"/>
    </x:row>
    <x:row r="155">
      <x:c r="A155" s="50"/>
      <x:c r="B155" s="50"/>
      <x:c r="C155" s="50"/>
      <x:c r="D155" s="50"/>
      <x:c r="E155" s="66" t="n">
        <x:f>SUMIF(Sales!$C:$C,B155,Sales!$I:$I)</x:f>
        <x:v>0</x:v>
      </x:c>
      <x:c r="F155" s="66"/>
      <x:c r="G155" s="66" t="n">
        <x:f>E155-F155</x:f>
        <x:v>0</x:v>
      </x:c>
      <x:c r="H155" s="64" t="n">
        <x:f>IFERROR(MAXIFS(Sales!$B:$B,Sales!$C:$C,B155),"")</x:f>
        <x:v>0</x:v>
      </x:c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50"/>
      <x:c r="C156" s="50"/>
      <x:c r="D156" s="50"/>
      <x:c r="E156" s="66" t="n">
        <x:f>SUMIF(Sales!$C:$C,B156,Sales!$I:$I)</x:f>
        <x:v>0</x:v>
      </x:c>
      <x:c r="F156" s="66"/>
      <x:c r="G156" s="66" t="n">
        <x:f>E156-F156</x:f>
        <x:v>0</x:v>
      </x:c>
      <x:c r="H156" s="64" t="n">
        <x:f>IFERROR(MAXIFS(Sales!$B:$B,Sales!$C:$C,B156),"")</x:f>
        <x:v>0</x:v>
      </x:c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50"/>
      <x:c r="C157" s="50"/>
      <x:c r="D157" s="50"/>
      <x:c r="E157" s="66" t="n">
        <x:f>SUMIF(Sales!$C:$C,B157,Sales!$I:$I)</x:f>
        <x:v>0</x:v>
      </x:c>
      <x:c r="F157" s="66"/>
      <x:c r="G157" s="66" t="n">
        <x:f>E157-F157</x:f>
        <x:v>0</x:v>
      </x:c>
      <x:c r="H157" s="64" t="n">
        <x:f>IFERROR(MAXIFS(Sales!$B:$B,Sales!$C:$C,B157),"")</x:f>
        <x:v>0</x:v>
      </x:c>
      <x:c r="I157" s="50"/>
      <x:c r="J157" s="50"/>
      <x:c r="K157" s="50"/>
      <x:c r="L157" s="50"/>
      <x:c r="M157" s="50"/>
      <x:c r="N157" s="50"/>
      <x:c r="O157" s="50"/>
    </x:row>
    <x:row r="158">
      <x:c r="A158" s="50"/>
      <x:c r="B158" s="50"/>
      <x:c r="C158" s="50"/>
      <x:c r="D158" s="50"/>
      <x:c r="E158" s="66" t="n">
        <x:f>SUMIF(Sales!$C:$C,B158,Sales!$I:$I)</x:f>
        <x:v>0</x:v>
      </x:c>
      <x:c r="F158" s="66"/>
      <x:c r="G158" s="66" t="n">
        <x:f>E158-F158</x:f>
        <x:v>0</x:v>
      </x:c>
      <x:c r="H158" s="64" t="n">
        <x:f>IFERROR(MAXIFS(Sales!$B:$B,Sales!$C:$C,B158),"")</x:f>
        <x:v>0</x:v>
      </x:c>
      <x:c r="I158" s="50"/>
      <x:c r="J158" s="50"/>
      <x:c r="K158" s="50"/>
      <x:c r="L158" s="50"/>
      <x:c r="M158" s="50"/>
      <x:c r="N158" s="50"/>
      <x:c r="O158" s="50"/>
    </x:row>
    <x:row r="159">
      <x:c r="A159" s="50"/>
      <x:c r="B159" s="50"/>
      <x:c r="C159" s="50"/>
      <x:c r="D159" s="50"/>
      <x:c r="E159" s="66" t="n">
        <x:f>SUMIF(Sales!$C:$C,B159,Sales!$I:$I)</x:f>
        <x:v>0</x:v>
      </x:c>
      <x:c r="F159" s="66"/>
      <x:c r="G159" s="66" t="n">
        <x:f>E159-F159</x:f>
        <x:v>0</x:v>
      </x:c>
      <x:c r="H159" s="64" t="n">
        <x:f>IFERROR(MAXIFS(Sales!$B:$B,Sales!$C:$C,B159),"")</x:f>
        <x:v>0</x:v>
      </x:c>
      <x:c r="I159" s="50"/>
      <x:c r="J159" s="50"/>
      <x:c r="K159" s="50"/>
      <x:c r="L159" s="50"/>
      <x:c r="M159" s="50"/>
      <x:c r="N159" s="50"/>
      <x:c r="O159" s="50"/>
    </x:row>
    <x:row r="160">
      <x:c r="A160" s="50"/>
      <x:c r="B160" s="50"/>
      <x:c r="C160" s="50"/>
      <x:c r="D160" s="50"/>
      <x:c r="E160" s="66" t="n">
        <x:f>SUMIF(Sales!$C:$C,B160,Sales!$I:$I)</x:f>
        <x:v>0</x:v>
      </x:c>
      <x:c r="F160" s="66"/>
      <x:c r="G160" s="66" t="n">
        <x:f>E160-F160</x:f>
        <x:v>0</x:v>
      </x:c>
      <x:c r="H160" s="64" t="n">
        <x:f>IFERROR(MAXIFS(Sales!$B:$B,Sales!$C:$C,B160),"")</x:f>
        <x:v>0</x:v>
      </x:c>
      <x:c r="I160" s="50"/>
      <x:c r="J160" s="50"/>
      <x:c r="K160" s="50"/>
      <x:c r="L160" s="50"/>
      <x:c r="M160" s="50"/>
      <x:c r="N160" s="50"/>
      <x:c r="O160" s="50"/>
    </x:row>
    <x:row r="161">
      <x:c r="A161" s="50"/>
      <x:c r="B161" s="50"/>
      <x:c r="C161" s="50"/>
      <x:c r="D161" s="50"/>
      <x:c r="E161" s="66" t="n">
        <x:f>SUMIF(Sales!$C:$C,B161,Sales!$I:$I)</x:f>
        <x:v>0</x:v>
      </x:c>
      <x:c r="F161" s="66"/>
      <x:c r="G161" s="66" t="n">
        <x:f>E161-F161</x:f>
        <x:v>0</x:v>
      </x:c>
      <x:c r="H161" s="64" t="n">
        <x:f>IFERROR(MAXIFS(Sales!$B:$B,Sales!$C:$C,B161),"")</x:f>
        <x:v>0</x:v>
      </x:c>
      <x:c r="I161" s="50"/>
      <x:c r="J161" s="50"/>
      <x:c r="K161" s="50"/>
      <x:c r="L161" s="50"/>
      <x:c r="M161" s="50"/>
      <x:c r="N161" s="50"/>
      <x:c r="O161" s="50"/>
    </x:row>
    <x:row r="162">
      <x:c r="A162" s="50"/>
      <x:c r="B162" s="50"/>
      <x:c r="C162" s="50"/>
      <x:c r="D162" s="50"/>
      <x:c r="E162" s="66" t="n">
        <x:f>SUMIF(Sales!$C:$C,B162,Sales!$I:$I)</x:f>
        <x:v>0</x:v>
      </x:c>
      <x:c r="F162" s="66"/>
      <x:c r="G162" s="66" t="n">
        <x:f>E162-F162</x:f>
        <x:v>0</x:v>
      </x:c>
      <x:c r="H162" s="64" t="n">
        <x:f>IFERROR(MAXIFS(Sales!$B:$B,Sales!$C:$C,B162),"")</x:f>
        <x:v>0</x:v>
      </x:c>
      <x:c r="I162" s="50"/>
      <x:c r="J162" s="50"/>
      <x:c r="K162" s="50"/>
      <x:c r="L162" s="50"/>
      <x:c r="M162" s="50"/>
      <x:c r="N162" s="50"/>
      <x:c r="O162" s="50"/>
    </x:row>
    <x:row r="163">
      <x:c r="A163" s="50"/>
      <x:c r="B163" s="50"/>
      <x:c r="C163" s="50"/>
      <x:c r="D163" s="50"/>
      <x:c r="E163" s="66" t="n">
        <x:f>SUMIF(Sales!$C:$C,B163,Sales!$I:$I)</x:f>
        <x:v>0</x:v>
      </x:c>
      <x:c r="F163" s="66"/>
      <x:c r="G163" s="66" t="n">
        <x:f>E163-F163</x:f>
        <x:v>0</x:v>
      </x:c>
      <x:c r="H163" s="64" t="n">
        <x:f>IFERROR(MAXIFS(Sales!$B:$B,Sales!$C:$C,B163),"")</x:f>
        <x:v>0</x:v>
      </x:c>
      <x:c r="I163" s="50"/>
      <x:c r="J163" s="50"/>
      <x:c r="K163" s="50"/>
      <x:c r="L163" s="50"/>
      <x:c r="M163" s="50"/>
      <x:c r="N163" s="50"/>
      <x:c r="O163" s="50"/>
    </x:row>
    <x:row r="164">
      <x:c r="A164" s="50"/>
      <x:c r="B164" s="50"/>
      <x:c r="C164" s="50"/>
      <x:c r="D164" s="50"/>
      <x:c r="E164" s="66" t="n">
        <x:f>SUMIF(Sales!$C:$C,B164,Sales!$I:$I)</x:f>
        <x:v>0</x:v>
      </x:c>
      <x:c r="F164" s="66"/>
      <x:c r="G164" s="66" t="n">
        <x:f>E164-F164</x:f>
        <x:v>0</x:v>
      </x:c>
      <x:c r="H164" s="64" t="n">
        <x:f>IFERROR(MAXIFS(Sales!$B:$B,Sales!$C:$C,B164),"")</x:f>
        <x:v>0</x:v>
      </x:c>
      <x:c r="I164" s="50"/>
      <x:c r="J164" s="50"/>
      <x:c r="K164" s="50"/>
      <x:c r="L164" s="50"/>
      <x:c r="M164" s="50"/>
      <x:c r="N164" s="50"/>
      <x:c r="O164" s="50"/>
    </x:row>
    <x:row r="165">
      <x:c r="A165" s="50"/>
      <x:c r="B165" s="50"/>
      <x:c r="C165" s="50"/>
      <x:c r="D165" s="50"/>
      <x:c r="E165" s="66" t="n">
        <x:f>SUMIF(Sales!$C:$C,B165,Sales!$I:$I)</x:f>
        <x:v>0</x:v>
      </x:c>
      <x:c r="F165" s="66"/>
      <x:c r="G165" s="66" t="n">
        <x:f>E165-F165</x:f>
        <x:v>0</x:v>
      </x:c>
      <x:c r="H165" s="64" t="n">
        <x:f>IFERROR(MAXIFS(Sales!$B:$B,Sales!$C:$C,B165),"")</x:f>
        <x:v>0</x:v>
      </x:c>
      <x:c r="I165" s="50"/>
      <x:c r="J165" s="50"/>
      <x:c r="K165" s="50"/>
      <x:c r="L165" s="50"/>
      <x:c r="M165" s="50"/>
      <x:c r="N165" s="50"/>
      <x:c r="O165" s="50"/>
    </x:row>
    <x:row r="166">
      <x:c r="A166" s="50"/>
      <x:c r="B166" s="50"/>
      <x:c r="C166" s="50"/>
      <x:c r="D166" s="50"/>
      <x:c r="E166" s="66" t="n">
        <x:f>SUMIF(Sales!$C:$C,B166,Sales!$I:$I)</x:f>
        <x:v>0</x:v>
      </x:c>
      <x:c r="F166" s="66"/>
      <x:c r="G166" s="66" t="n">
        <x:f>E166-F166</x:f>
        <x:v>0</x:v>
      </x:c>
      <x:c r="H166" s="64" t="n">
        <x:f>IFERROR(MAXIFS(Sales!$B:$B,Sales!$C:$C,B166),"")</x:f>
        <x:v>0</x:v>
      </x:c>
      <x:c r="I166" s="50"/>
      <x:c r="J166" s="50"/>
      <x:c r="K166" s="50"/>
      <x:c r="L166" s="50"/>
      <x:c r="M166" s="50"/>
      <x:c r="N166" s="50"/>
      <x:c r="O166" s="50"/>
    </x:row>
    <x:row r="167">
      <x:c r="A167" s="50"/>
      <x:c r="B167" s="50"/>
      <x:c r="C167" s="50"/>
      <x:c r="D167" s="50"/>
      <x:c r="E167" s="66" t="n">
        <x:f>SUMIF(Sales!$C:$C,B167,Sales!$I:$I)</x:f>
        <x:v>0</x:v>
      </x:c>
      <x:c r="F167" s="66"/>
      <x:c r="G167" s="66" t="n">
        <x:f>E167-F167</x:f>
        <x:v>0</x:v>
      </x:c>
      <x:c r="H167" s="64" t="n">
        <x:f>IFERROR(MAXIFS(Sales!$B:$B,Sales!$C:$C,B167),"")</x:f>
        <x:v>0</x:v>
      </x:c>
      <x:c r="I167" s="50"/>
      <x:c r="J167" s="50"/>
      <x:c r="K167" s="50"/>
      <x:c r="L167" s="50"/>
      <x:c r="M167" s="50"/>
      <x:c r="N167" s="50"/>
      <x:c r="O167" s="50"/>
    </x:row>
    <x:row r="168">
      <x:c r="A168" s="50"/>
      <x:c r="B168" s="50"/>
      <x:c r="C168" s="50"/>
      <x:c r="D168" s="50"/>
      <x:c r="E168" s="66" t="n">
        <x:f>SUMIF(Sales!$C:$C,B168,Sales!$I:$I)</x:f>
        <x:v>0</x:v>
      </x:c>
      <x:c r="F168" s="66"/>
      <x:c r="G168" s="66" t="n">
        <x:f>E168-F168</x:f>
        <x:v>0</x:v>
      </x:c>
      <x:c r="H168" s="64" t="n">
        <x:f>IFERROR(MAXIFS(Sales!$B:$B,Sales!$C:$C,B168),"")</x:f>
        <x:v>0</x:v>
      </x:c>
      <x:c r="I168" s="50"/>
      <x:c r="J168" s="50"/>
      <x:c r="K168" s="50"/>
      <x:c r="L168" s="50"/>
      <x:c r="M168" s="50"/>
      <x:c r="N168" s="50"/>
      <x:c r="O168" s="50"/>
    </x:row>
    <x:row r="169">
      <x:c r="A169" s="50"/>
      <x:c r="B169" s="50"/>
      <x:c r="C169" s="50"/>
      <x:c r="D169" s="50"/>
      <x:c r="E169" s="66" t="n">
        <x:f>SUMIF(Sales!$C:$C,B169,Sales!$I:$I)</x:f>
        <x:v>0</x:v>
      </x:c>
      <x:c r="F169" s="66"/>
      <x:c r="G169" s="66" t="n">
        <x:f>E169-F169</x:f>
        <x:v>0</x:v>
      </x:c>
      <x:c r="H169" s="64" t="n">
        <x:f>IFERROR(MAXIFS(Sales!$B:$B,Sales!$C:$C,B169),"")</x:f>
        <x:v>0</x:v>
      </x:c>
      <x:c r="I169" s="50"/>
      <x:c r="J169" s="50"/>
      <x:c r="K169" s="50"/>
      <x:c r="L169" s="50"/>
      <x:c r="M169" s="50"/>
      <x:c r="N169" s="50"/>
      <x:c r="O169" s="50"/>
    </x:row>
    <x:row r="170">
      <x:c r="A170" s="50"/>
      <x:c r="B170" s="50"/>
      <x:c r="C170" s="50"/>
      <x:c r="D170" s="50"/>
      <x:c r="E170" s="66" t="n">
        <x:f>SUMIF(Sales!$C:$C,B170,Sales!$I:$I)</x:f>
        <x:v>0</x:v>
      </x:c>
      <x:c r="F170" s="66"/>
      <x:c r="G170" s="66" t="n">
        <x:f>E170-F170</x:f>
        <x:v>0</x:v>
      </x:c>
      <x:c r="H170" s="64" t="n">
        <x:f>IFERROR(MAXIFS(Sales!$B:$B,Sales!$C:$C,B170),"")</x:f>
        <x:v>0</x:v>
      </x:c>
      <x:c r="I170" s="50"/>
      <x:c r="J170" s="50"/>
      <x:c r="K170" s="50"/>
      <x:c r="L170" s="50"/>
      <x:c r="M170" s="50"/>
      <x:c r="N170" s="50"/>
      <x:c r="O170" s="50"/>
    </x:row>
    <x:row r="171">
      <x:c r="A171" s="50"/>
      <x:c r="B171" s="50"/>
      <x:c r="C171" s="50"/>
      <x:c r="D171" s="50"/>
      <x:c r="E171" s="66" t="n">
        <x:f>SUMIF(Sales!$C:$C,B171,Sales!$I:$I)</x:f>
        <x:v>0</x:v>
      </x:c>
      <x:c r="F171" s="66"/>
      <x:c r="G171" s="66" t="n">
        <x:f>E171-F171</x:f>
        <x:v>0</x:v>
      </x:c>
      <x:c r="H171" s="64" t="n">
        <x:f>IFERROR(MAXIFS(Sales!$B:$B,Sales!$C:$C,B171),"")</x:f>
        <x:v>0</x:v>
      </x:c>
      <x:c r="I171" s="50"/>
      <x:c r="J171" s="50"/>
      <x:c r="K171" s="50"/>
      <x:c r="L171" s="50"/>
      <x:c r="M171" s="50"/>
      <x:c r="N171" s="50"/>
      <x:c r="O171" s="50"/>
    </x:row>
    <x:row r="172">
      <x:c r="A172" s="50"/>
      <x:c r="B172" s="50"/>
      <x:c r="C172" s="50"/>
      <x:c r="D172" s="50"/>
      <x:c r="E172" s="66" t="n">
        <x:f>SUMIF(Sales!$C:$C,B172,Sales!$I:$I)</x:f>
        <x:v>0</x:v>
      </x:c>
      <x:c r="F172" s="66"/>
      <x:c r="G172" s="66" t="n">
        <x:f>E172-F172</x:f>
        <x:v>0</x:v>
      </x:c>
      <x:c r="H172" s="64" t="n">
        <x:f>IFERROR(MAXIFS(Sales!$B:$B,Sales!$C:$C,B172),"")</x:f>
        <x:v>0</x:v>
      </x:c>
      <x:c r="I172" s="50"/>
      <x:c r="J172" s="50"/>
      <x:c r="K172" s="50"/>
      <x:c r="L172" s="50"/>
      <x:c r="M172" s="50"/>
      <x:c r="N172" s="50"/>
      <x:c r="O172" s="50"/>
    </x:row>
    <x:row r="173">
      <x:c r="A173" s="50"/>
      <x:c r="B173" s="50"/>
      <x:c r="C173" s="50"/>
      <x:c r="D173" s="50"/>
      <x:c r="E173" s="66" t="n">
        <x:f>SUMIF(Sales!$C:$C,B173,Sales!$I:$I)</x:f>
        <x:v>0</x:v>
      </x:c>
      <x:c r="F173" s="66"/>
      <x:c r="G173" s="66" t="n">
        <x:f>E173-F173</x:f>
        <x:v>0</x:v>
      </x:c>
      <x:c r="H173" s="64" t="n">
        <x:f>IFERROR(MAXIFS(Sales!$B:$B,Sales!$C:$C,B173),"")</x:f>
        <x:v>0</x:v>
      </x:c>
      <x:c r="I173" s="50"/>
      <x:c r="J173" s="50"/>
      <x:c r="K173" s="50"/>
      <x:c r="L173" s="50"/>
      <x:c r="M173" s="50"/>
      <x:c r="N173" s="50"/>
      <x:c r="O173" s="50"/>
    </x:row>
    <x:row r="174">
      <x:c r="A174" s="50"/>
      <x:c r="B174" s="50"/>
      <x:c r="C174" s="50"/>
      <x:c r="D174" s="50"/>
      <x:c r="E174" s="66" t="n">
        <x:f>SUMIF(Sales!$C:$C,B174,Sales!$I:$I)</x:f>
        <x:v>0</x:v>
      </x:c>
      <x:c r="F174" s="66"/>
      <x:c r="G174" s="66" t="n">
        <x:f>E174-F174</x:f>
        <x:v>0</x:v>
      </x:c>
      <x:c r="H174" s="64" t="n">
        <x:f>IFERROR(MAXIFS(Sales!$B:$B,Sales!$C:$C,B174),"")</x:f>
        <x:v>0</x:v>
      </x:c>
      <x:c r="I174" s="50"/>
      <x:c r="J174" s="50"/>
      <x:c r="K174" s="50"/>
      <x:c r="L174" s="50"/>
      <x:c r="M174" s="50"/>
      <x:c r="N174" s="50"/>
      <x:c r="O174" s="50"/>
    </x:row>
    <x:row r="175">
      <x:c r="A175" s="50"/>
      <x:c r="B175" s="50"/>
      <x:c r="C175" s="50"/>
      <x:c r="D175" s="50"/>
      <x:c r="E175" s="66" t="n">
        <x:f>SUMIF(Sales!$C:$C,B175,Sales!$I:$I)</x:f>
        <x:v>0</x:v>
      </x:c>
      <x:c r="F175" s="66"/>
      <x:c r="G175" s="66" t="n">
        <x:f>E175-F175</x:f>
        <x:v>0</x:v>
      </x:c>
      <x:c r="H175" s="64" t="n">
        <x:f>IFERROR(MAXIFS(Sales!$B:$B,Sales!$C:$C,B175),"")</x:f>
        <x:v>0</x:v>
      </x:c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50"/>
      <x:c r="C176" s="50"/>
      <x:c r="D176" s="50"/>
      <x:c r="E176" s="66" t="n">
        <x:f>SUMIF(Sales!$C:$C,B176,Sales!$I:$I)</x:f>
        <x:v>0</x:v>
      </x:c>
      <x:c r="F176" s="66"/>
      <x:c r="G176" s="66" t="n">
        <x:f>E176-F176</x:f>
        <x:v>0</x:v>
      </x:c>
      <x:c r="H176" s="64" t="n">
        <x:f>IFERROR(MAXIFS(Sales!$B:$B,Sales!$C:$C,B176),"")</x:f>
        <x:v>0</x:v>
      </x:c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50"/>
      <x:c r="C177" s="50"/>
      <x:c r="D177" s="50"/>
      <x:c r="E177" s="66" t="n">
        <x:f>SUMIF(Sales!$C:$C,B177,Sales!$I:$I)</x:f>
        <x:v>0</x:v>
      </x:c>
      <x:c r="F177" s="66"/>
      <x:c r="G177" s="66" t="n">
        <x:f>E177-F177</x:f>
        <x:v>0</x:v>
      </x:c>
      <x:c r="H177" s="64" t="n">
        <x:f>IFERROR(MAXIFS(Sales!$B:$B,Sales!$C:$C,B177),"")</x:f>
        <x:v>0</x:v>
      </x:c>
      <x:c r="I177" s="50"/>
      <x:c r="J177" s="50"/>
      <x:c r="K177" s="50"/>
      <x:c r="L177" s="50"/>
      <x:c r="M177" s="50"/>
      <x:c r="N177" s="50"/>
      <x:c r="O177" s="50"/>
    </x:row>
    <x:row r="178">
      <x:c r="A178" s="50"/>
      <x:c r="B178" s="50"/>
      <x:c r="C178" s="50"/>
      <x:c r="D178" s="50"/>
      <x:c r="E178" s="66" t="n">
        <x:f>SUMIF(Sales!$C:$C,B178,Sales!$I:$I)</x:f>
        <x:v>0</x:v>
      </x:c>
      <x:c r="F178" s="66"/>
      <x:c r="G178" s="66" t="n">
        <x:f>E178-F178</x:f>
        <x:v>0</x:v>
      </x:c>
      <x:c r="H178" s="64" t="n">
        <x:f>IFERROR(MAXIFS(Sales!$B:$B,Sales!$C:$C,B178),"")</x:f>
        <x:v>0</x:v>
      </x:c>
      <x:c r="I178" s="50"/>
      <x:c r="J178" s="50"/>
      <x:c r="K178" s="50"/>
      <x:c r="L178" s="50"/>
      <x:c r="M178" s="50"/>
      <x:c r="N178" s="50"/>
      <x:c r="O178" s="50"/>
    </x:row>
    <x:row r="179">
      <x:c r="A179" s="50"/>
      <x:c r="B179" s="50"/>
      <x:c r="C179" s="50"/>
      <x:c r="D179" s="50"/>
      <x:c r="E179" s="66" t="n">
        <x:f>SUMIF(Sales!$C:$C,B179,Sales!$I:$I)</x:f>
        <x:v>0</x:v>
      </x:c>
      <x:c r="F179" s="66"/>
      <x:c r="G179" s="66" t="n">
        <x:f>E179-F179</x:f>
        <x:v>0</x:v>
      </x:c>
      <x:c r="H179" s="64" t="n">
        <x:f>IFERROR(MAXIFS(Sales!$B:$B,Sales!$C:$C,B179),"")</x:f>
        <x:v>0</x:v>
      </x:c>
      <x:c r="I179" s="50"/>
      <x:c r="J179" s="50"/>
      <x:c r="K179" s="50"/>
      <x:c r="L179" s="50"/>
      <x:c r="M179" s="50"/>
      <x:c r="N179" s="50"/>
      <x:c r="O179" s="50"/>
    </x:row>
    <x:row r="180">
      <x:c r="A180" s="50"/>
      <x:c r="B180" s="50"/>
      <x:c r="C180" s="50"/>
      <x:c r="D180" s="50"/>
      <x:c r="E180" s="66" t="n">
        <x:f>SUMIF(Sales!$C:$C,B180,Sales!$I:$I)</x:f>
        <x:v>0</x:v>
      </x:c>
      <x:c r="F180" s="66"/>
      <x:c r="G180" s="66" t="n">
        <x:f>E180-F180</x:f>
        <x:v>0</x:v>
      </x:c>
      <x:c r="H180" s="64" t="n">
        <x:f>IFERROR(MAXIFS(Sales!$B:$B,Sales!$C:$C,B180),"")</x:f>
        <x:v>0</x:v>
      </x:c>
      <x:c r="I180" s="50"/>
      <x:c r="J180" s="50"/>
      <x:c r="K180" s="50"/>
      <x:c r="L180" s="50"/>
      <x:c r="M180" s="50"/>
      <x:c r="N180" s="50"/>
      <x:c r="O180" s="50"/>
    </x:row>
    <x:row r="181">
      <x:c r="A181" s="50"/>
      <x:c r="B181" s="50"/>
      <x:c r="C181" s="50"/>
      <x:c r="D181" s="50"/>
      <x:c r="E181" s="66" t="n">
        <x:f>SUMIF(Sales!$C:$C,B181,Sales!$I:$I)</x:f>
        <x:v>0</x:v>
      </x:c>
      <x:c r="F181" s="66"/>
      <x:c r="G181" s="66" t="n">
        <x:f>E181-F181</x:f>
        <x:v>0</x:v>
      </x:c>
      <x:c r="H181" s="64" t="n">
        <x:f>IFERROR(MAXIFS(Sales!$B:$B,Sales!$C:$C,B181),"")</x:f>
        <x:v>0</x:v>
      </x:c>
      <x:c r="I181" s="50"/>
      <x:c r="J181" s="50"/>
      <x:c r="K181" s="50"/>
      <x:c r="L181" s="50"/>
      <x:c r="M181" s="50"/>
      <x:c r="N181" s="50"/>
      <x:c r="O181" s="50"/>
    </x:row>
    <x:row r="182">
      <x:c r="A182" s="50"/>
      <x:c r="B182" s="50"/>
      <x:c r="C182" s="50"/>
      <x:c r="D182" s="50"/>
      <x:c r="E182" s="66" t="n">
        <x:f>SUMIF(Sales!$C:$C,B182,Sales!$I:$I)</x:f>
        <x:v>0</x:v>
      </x:c>
      <x:c r="F182" s="66"/>
      <x:c r="G182" s="66" t="n">
        <x:f>E182-F182</x:f>
        <x:v>0</x:v>
      </x:c>
      <x:c r="H182" s="64" t="n">
        <x:f>IFERROR(MAXIFS(Sales!$B:$B,Sales!$C:$C,B182),"")</x:f>
        <x:v>0</x:v>
      </x:c>
      <x:c r="I182" s="50"/>
      <x:c r="J182" s="50"/>
      <x:c r="K182" s="50"/>
      <x:c r="L182" s="50"/>
      <x:c r="M182" s="50"/>
      <x:c r="N182" s="50"/>
      <x:c r="O182" s="50"/>
    </x:row>
    <x:row r="183">
      <x:c r="A183" s="50"/>
      <x:c r="B183" s="50"/>
      <x:c r="C183" s="50"/>
      <x:c r="D183" s="50"/>
      <x:c r="E183" s="66" t="n">
        <x:f>SUMIF(Sales!$C:$C,B183,Sales!$I:$I)</x:f>
        <x:v>0</x:v>
      </x:c>
      <x:c r="F183" s="66"/>
      <x:c r="G183" s="66" t="n">
        <x:f>E183-F183</x:f>
        <x:v>0</x:v>
      </x:c>
      <x:c r="H183" s="64" t="n">
        <x:f>IFERROR(MAXIFS(Sales!$B:$B,Sales!$C:$C,B183),"")</x:f>
        <x:v>0</x:v>
      </x:c>
      <x:c r="I183" s="50"/>
      <x:c r="J183" s="50"/>
      <x:c r="K183" s="50"/>
      <x:c r="L183" s="50"/>
      <x:c r="M183" s="50"/>
      <x:c r="N183" s="50"/>
      <x:c r="O183" s="50"/>
    </x:row>
    <x:row r="184">
      <x:c r="A184" s="50"/>
      <x:c r="B184" s="50"/>
      <x:c r="C184" s="50"/>
      <x:c r="D184" s="50"/>
      <x:c r="E184" s="66" t="n">
        <x:f>SUMIF(Sales!$C:$C,B184,Sales!$I:$I)</x:f>
        <x:v>0</x:v>
      </x:c>
      <x:c r="F184" s="66"/>
      <x:c r="G184" s="66" t="n">
        <x:f>E184-F184</x:f>
        <x:v>0</x:v>
      </x:c>
      <x:c r="H184" s="64" t="n">
        <x:f>IFERROR(MAXIFS(Sales!$B:$B,Sales!$C:$C,B184),"")</x:f>
        <x:v>0</x:v>
      </x:c>
      <x:c r="I184" s="50"/>
      <x:c r="J184" s="50"/>
      <x:c r="K184" s="50"/>
      <x:c r="L184" s="50"/>
      <x:c r="M184" s="50"/>
      <x:c r="N184" s="50"/>
      <x:c r="O184" s="50"/>
    </x:row>
    <x:row r="185">
      <x:c r="A185" s="50"/>
      <x:c r="B185" s="50"/>
      <x:c r="C185" s="50"/>
      <x:c r="D185" s="50"/>
      <x:c r="E185" s="66" t="n">
        <x:f>SUMIF(Sales!$C:$C,B185,Sales!$I:$I)</x:f>
        <x:v>0</x:v>
      </x:c>
      <x:c r="F185" s="66"/>
      <x:c r="G185" s="66" t="n">
        <x:f>E185-F185</x:f>
        <x:v>0</x:v>
      </x:c>
      <x:c r="H185" s="64" t="n">
        <x:f>IFERROR(MAXIFS(Sales!$B:$B,Sales!$C:$C,B185),"")</x:f>
        <x:v>0</x:v>
      </x:c>
      <x:c r="I185" s="50"/>
      <x:c r="J185" s="50"/>
      <x:c r="K185" s="50"/>
      <x:c r="L185" s="50"/>
      <x:c r="M185" s="50"/>
      <x:c r="N185" s="50"/>
      <x:c r="O185" s="50"/>
    </x:row>
    <x:row r="186">
      <x:c r="A186" s="50"/>
      <x:c r="B186" s="50"/>
      <x:c r="C186" s="50"/>
      <x:c r="D186" s="50"/>
      <x:c r="E186" s="66" t="n">
        <x:f>SUMIF(Sales!$C:$C,B186,Sales!$I:$I)</x:f>
        <x:v>0</x:v>
      </x:c>
      <x:c r="F186" s="66"/>
      <x:c r="G186" s="66" t="n">
        <x:f>E186-F186</x:f>
        <x:v>0</x:v>
      </x:c>
      <x:c r="H186" s="64" t="n">
        <x:f>IFERROR(MAXIFS(Sales!$B:$B,Sales!$C:$C,B186),"")</x:f>
        <x:v>0</x:v>
      </x:c>
      <x:c r="I186" s="50"/>
      <x:c r="J186" s="50"/>
      <x:c r="K186" s="50"/>
      <x:c r="L186" s="50"/>
      <x:c r="M186" s="50"/>
      <x:c r="N186" s="50"/>
      <x:c r="O186" s="50"/>
    </x:row>
    <x:row r="187">
      <x:c r="A187" s="50"/>
      <x:c r="B187" s="50"/>
      <x:c r="C187" s="50"/>
      <x:c r="D187" s="50"/>
      <x:c r="E187" s="66" t="n">
        <x:f>SUMIF(Sales!$C:$C,B187,Sales!$I:$I)</x:f>
        <x:v>0</x:v>
      </x:c>
      <x:c r="F187" s="66"/>
      <x:c r="G187" s="66" t="n">
        <x:f>E187-F187</x:f>
        <x:v>0</x:v>
      </x:c>
      <x:c r="H187" s="64" t="n">
        <x:f>IFERROR(MAXIFS(Sales!$B:$B,Sales!$C:$C,B187),"")</x:f>
        <x:v>0</x:v>
      </x:c>
      <x:c r="I187" s="50"/>
      <x:c r="J187" s="50"/>
      <x:c r="K187" s="50"/>
      <x:c r="L187" s="50"/>
      <x:c r="M187" s="50"/>
      <x:c r="N187" s="50"/>
      <x:c r="O187" s="50"/>
    </x:row>
    <x:row r="188">
      <x:c r="A188" s="50"/>
      <x:c r="B188" s="50"/>
      <x:c r="C188" s="50"/>
      <x:c r="D188" s="50"/>
      <x:c r="E188" s="66" t="n">
        <x:f>SUMIF(Sales!$C:$C,B188,Sales!$I:$I)</x:f>
        <x:v>0</x:v>
      </x:c>
      <x:c r="F188" s="66"/>
      <x:c r="G188" s="66" t="n">
        <x:f>E188-F188</x:f>
        <x:v>0</x:v>
      </x:c>
      <x:c r="H188" s="64" t="n">
        <x:f>IFERROR(MAXIFS(Sales!$B:$B,Sales!$C:$C,B188),"")</x:f>
        <x:v>0</x:v>
      </x:c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50"/>
      <x:c r="C189" s="50"/>
      <x:c r="D189" s="50"/>
      <x:c r="E189" s="66" t="n">
        <x:f>SUMIF(Sales!$C:$C,B189,Sales!$I:$I)</x:f>
        <x:v>0</x:v>
      </x:c>
      <x:c r="F189" s="66"/>
      <x:c r="G189" s="66" t="n">
        <x:f>E189-F189</x:f>
        <x:v>0</x:v>
      </x:c>
      <x:c r="H189" s="64" t="n">
        <x:f>IFERROR(MAXIFS(Sales!$B:$B,Sales!$C:$C,B189),"")</x:f>
        <x:v>0</x:v>
      </x:c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50"/>
      <x:c r="C190" s="50"/>
      <x:c r="D190" s="50"/>
      <x:c r="E190" s="66" t="n">
        <x:f>SUMIF(Sales!$C:$C,B190,Sales!$I:$I)</x:f>
        <x:v>0</x:v>
      </x:c>
      <x:c r="F190" s="66"/>
      <x:c r="G190" s="66" t="n">
        <x:f>E190-F190</x:f>
        <x:v>0</x:v>
      </x:c>
      <x:c r="H190" s="64" t="n">
        <x:f>IFERROR(MAXIFS(Sales!$B:$B,Sales!$C:$C,B190),"")</x:f>
        <x:v>0</x:v>
      </x:c>
      <x:c r="I190" s="50"/>
      <x:c r="J190" s="50"/>
      <x:c r="K190" s="50"/>
      <x:c r="L190" s="50"/>
      <x:c r="M190" s="50"/>
      <x:c r="N190" s="50"/>
      <x:c r="O190" s="50"/>
    </x:row>
    <x:row r="191">
      <x:c r="A191" s="50"/>
      <x:c r="B191" s="50"/>
      <x:c r="C191" s="50"/>
      <x:c r="D191" s="50"/>
      <x:c r="E191" s="66" t="n">
        <x:f>SUMIF(Sales!$C:$C,B191,Sales!$I:$I)</x:f>
        <x:v>0</x:v>
      </x:c>
      <x:c r="F191" s="66"/>
      <x:c r="G191" s="66" t="n">
        <x:f>E191-F191</x:f>
        <x:v>0</x:v>
      </x:c>
      <x:c r="H191" s="64" t="n">
        <x:f>IFERROR(MAXIFS(Sales!$B:$B,Sales!$C:$C,B191),"")</x:f>
        <x:v>0</x:v>
      </x:c>
      <x:c r="I191" s="50"/>
      <x:c r="J191" s="50"/>
      <x:c r="K191" s="50"/>
      <x:c r="L191" s="50"/>
      <x:c r="M191" s="50"/>
      <x:c r="N191" s="50"/>
      <x:c r="O191" s="50"/>
    </x:row>
    <x:row r="192">
      <x:c r="A192" s="50"/>
      <x:c r="B192" s="50"/>
      <x:c r="C192" s="50"/>
      <x:c r="D192" s="50"/>
      <x:c r="E192" s="66" t="n">
        <x:f>SUMIF(Sales!$C:$C,B192,Sales!$I:$I)</x:f>
        <x:v>0</x:v>
      </x:c>
      <x:c r="F192" s="66"/>
      <x:c r="G192" s="66" t="n">
        <x:f>E192-F192</x:f>
        <x:v>0</x:v>
      </x:c>
      <x:c r="H192" s="64" t="n">
        <x:f>IFERROR(MAXIFS(Sales!$B:$B,Sales!$C:$C,B192),"")</x:f>
        <x:v>0</x:v>
      </x:c>
      <x:c r="I192" s="50"/>
      <x:c r="J192" s="50"/>
      <x:c r="K192" s="50"/>
      <x:c r="L192" s="50"/>
      <x:c r="M192" s="50"/>
      <x:c r="N192" s="50"/>
      <x:c r="O192" s="50"/>
    </x:row>
    <x:row r="193">
      <x:c r="A193" s="50"/>
      <x:c r="B193" s="50"/>
      <x:c r="C193" s="50"/>
      <x:c r="D193" s="50"/>
      <x:c r="E193" s="66" t="n">
        <x:f>SUMIF(Sales!$C:$C,B193,Sales!$I:$I)</x:f>
        <x:v>0</x:v>
      </x:c>
      <x:c r="F193" s="66"/>
      <x:c r="G193" s="66" t="n">
        <x:f>E193-F193</x:f>
        <x:v>0</x:v>
      </x:c>
      <x:c r="H193" s="64" t="n">
        <x:f>IFERROR(MAXIFS(Sales!$B:$B,Sales!$C:$C,B193),"")</x:f>
        <x:v>0</x:v>
      </x:c>
      <x:c r="I193" s="50"/>
      <x:c r="J193" s="50"/>
      <x:c r="K193" s="50"/>
      <x:c r="L193" s="50"/>
      <x:c r="M193" s="50"/>
      <x:c r="N193" s="50"/>
      <x:c r="O193" s="50"/>
    </x:row>
    <x:row r="194">
      <x:c r="A194" s="50"/>
      <x:c r="B194" s="50"/>
      <x:c r="C194" s="50"/>
      <x:c r="D194" s="50"/>
      <x:c r="E194" s="66" t="n">
        <x:f>SUMIF(Sales!$C:$C,B194,Sales!$I:$I)</x:f>
        <x:v>0</x:v>
      </x:c>
      <x:c r="F194" s="66"/>
      <x:c r="G194" s="66" t="n">
        <x:f>E194-F194</x:f>
        <x:v>0</x:v>
      </x:c>
      <x:c r="H194" s="64" t="n">
        <x:f>IFERROR(MAXIFS(Sales!$B:$B,Sales!$C:$C,B194),"")</x:f>
        <x:v>0</x:v>
      </x:c>
      <x:c r="I194" s="50"/>
      <x:c r="J194" s="50"/>
      <x:c r="K194" s="50"/>
      <x:c r="L194" s="50"/>
      <x:c r="M194" s="50"/>
      <x:c r="N194" s="50"/>
      <x:c r="O194" s="50"/>
    </x:row>
    <x:row r="195">
      <x:c r="A195" s="50"/>
      <x:c r="B195" s="50"/>
      <x:c r="C195" s="50"/>
      <x:c r="D195" s="50"/>
      <x:c r="E195" s="66" t="n">
        <x:f>SUMIF(Sales!$C:$C,B195,Sales!$I:$I)</x:f>
        <x:v>0</x:v>
      </x:c>
      <x:c r="F195" s="66"/>
      <x:c r="G195" s="66" t="n">
        <x:f>E195-F195</x:f>
        <x:v>0</x:v>
      </x:c>
      <x:c r="H195" s="64" t="n">
        <x:f>IFERROR(MAXIFS(Sales!$B:$B,Sales!$C:$C,B195),"")</x:f>
        <x:v>0</x:v>
      </x:c>
      <x:c r="I195" s="50"/>
      <x:c r="J195" s="50"/>
      <x:c r="K195" s="50"/>
      <x:c r="L195" s="50"/>
      <x:c r="M195" s="50"/>
      <x:c r="N195" s="50"/>
      <x:c r="O195" s="50"/>
    </x:row>
    <x:row r="196">
      <x:c r="A196" s="50"/>
      <x:c r="B196" s="50"/>
      <x:c r="C196" s="50"/>
      <x:c r="D196" s="50"/>
      <x:c r="E196" s="66" t="n">
        <x:f>SUMIF(Sales!$C:$C,B196,Sales!$I:$I)</x:f>
        <x:v>0</x:v>
      </x:c>
      <x:c r="F196" s="66"/>
      <x:c r="G196" s="66" t="n">
        <x:f>E196-F196</x:f>
        <x:v>0</x:v>
      </x:c>
      <x:c r="H196" s="64" t="n">
        <x:f>IFERROR(MAXIFS(Sales!$B:$B,Sales!$C:$C,B196),"")</x:f>
        <x:v>0</x:v>
      </x:c>
      <x:c r="I196" s="50"/>
      <x:c r="J196" s="50"/>
      <x:c r="K196" s="50"/>
      <x:c r="L196" s="50"/>
      <x:c r="M196" s="50"/>
      <x:c r="N196" s="50"/>
      <x:c r="O196" s="50"/>
    </x:row>
    <x:row r="197">
      <x:c r="A197" s="50"/>
      <x:c r="B197" s="50"/>
      <x:c r="C197" s="50"/>
      <x:c r="D197" s="50"/>
      <x:c r="E197" s="66" t="n">
        <x:f>SUMIF(Sales!$C:$C,B197,Sales!$I:$I)</x:f>
        <x:v>0</x:v>
      </x:c>
      <x:c r="F197" s="66"/>
      <x:c r="G197" s="66" t="n">
        <x:f>E197-F197</x:f>
        <x:v>0</x:v>
      </x:c>
      <x:c r="H197" s="64" t="n">
        <x:f>IFERROR(MAXIFS(Sales!$B:$B,Sales!$C:$C,B197),"")</x:f>
        <x:v>0</x:v>
      </x:c>
      <x:c r="I197" s="50"/>
      <x:c r="J197" s="50"/>
      <x:c r="K197" s="50"/>
      <x:c r="L197" s="50"/>
      <x:c r="M197" s="50"/>
      <x:c r="N197" s="50"/>
      <x:c r="O197" s="50"/>
    </x:row>
    <x:row r="198">
      <x:c r="A198" s="50"/>
      <x:c r="B198" s="50"/>
      <x:c r="C198" s="50"/>
      <x:c r="D198" s="50"/>
      <x:c r="E198" s="66" t="n">
        <x:f>SUMIF(Sales!$C:$C,B198,Sales!$I:$I)</x:f>
        <x:v>0</x:v>
      </x:c>
      <x:c r="F198" s="66"/>
      <x:c r="G198" s="66" t="n">
        <x:f>E198-F198</x:f>
        <x:v>0</x:v>
      </x:c>
      <x:c r="H198" s="64" t="n">
        <x:f>IFERROR(MAXIFS(Sales!$B:$B,Sales!$C:$C,B198),"")</x:f>
        <x:v>0</x:v>
      </x:c>
      <x:c r="I198" s="50"/>
      <x:c r="J198" s="50"/>
      <x:c r="K198" s="50"/>
      <x:c r="L198" s="50"/>
      <x:c r="M198" s="50"/>
      <x:c r="N198" s="50"/>
      <x:c r="O198" s="50"/>
    </x:row>
    <x:row r="199">
      <x:c r="A199" s="50"/>
      <x:c r="B199" s="50"/>
      <x:c r="C199" s="50"/>
      <x:c r="D199" s="50"/>
      <x:c r="E199" s="66" t="n">
        <x:f>SUMIF(Sales!$C:$C,B199,Sales!$I:$I)</x:f>
        <x:v>0</x:v>
      </x:c>
      <x:c r="F199" s="66"/>
      <x:c r="G199" s="66" t="n">
        <x:f>E199-F199</x:f>
        <x:v>0</x:v>
      </x:c>
      <x:c r="H199" s="64" t="n">
        <x:f>IFERROR(MAXIFS(Sales!$B:$B,Sales!$C:$C,B199),"")</x:f>
        <x:v>0</x:v>
      </x:c>
      <x:c r="I199" s="50"/>
      <x:c r="J199" s="50"/>
      <x:c r="K199" s="50"/>
      <x:c r="L199" s="50"/>
      <x:c r="M199" s="50"/>
      <x:c r="N199" s="50"/>
      <x:c r="O199" s="50"/>
    </x:row>
    <x:row r="200">
      <x:c r="A200" s="50"/>
      <x:c r="B200" s="50"/>
      <x:c r="C200" s="50"/>
      <x:c r="D200" s="50"/>
      <x:c r="E200" s="66" t="n">
        <x:f>SUMIF(Sales!$C:$C,B200,Sales!$I:$I)</x:f>
        <x:v>0</x:v>
      </x:c>
      <x:c r="F200" s="66"/>
      <x:c r="G200" s="66" t="n">
        <x:f>E200-F200</x:f>
        <x:v>0</x:v>
      </x:c>
      <x:c r="H200" s="64" t="n">
        <x:f>IFERROR(MAXIFS(Sales!$B:$B,Sales!$C:$C,B200),"")</x:f>
        <x:v>0</x:v>
      </x:c>
      <x:c r="I200" s="50"/>
      <x:c r="J200" s="50"/>
      <x:c r="K200" s="50"/>
      <x:c r="L200" s="50"/>
      <x:c r="M200" s="50"/>
      <x:c r="N200" s="50"/>
      <x:c r="O200" s="50"/>
    </x:row>
    <x:row r="201">
      <x:c r="A201" s="50"/>
      <x:c r="B201" s="50"/>
      <x:c r="C201" s="50"/>
      <x:c r="D201" s="50"/>
      <x:c r="E201" s="66" t="n">
        <x:f>SUMIF(Sales!$C:$C,B201,Sales!$I:$I)</x:f>
        <x:v>0</x:v>
      </x:c>
      <x:c r="F201" s="66"/>
      <x:c r="G201" s="66" t="n">
        <x:f>E201-F201</x:f>
        <x:v>0</x:v>
      </x:c>
      <x:c r="H201" s="64" t="n">
        <x:f>IFERROR(MAXIFS(Sales!$B:$B,Sales!$C:$C,B201),"")</x:f>
        <x:v>0</x:v>
      </x:c>
      <x:c r="I201" s="50"/>
      <x:c r="J201" s="50"/>
      <x:c r="K201" s="50"/>
      <x:c r="L201" s="50"/>
      <x:c r="M201" s="50"/>
      <x:c r="N201" s="50"/>
      <x:c r="O201" s="50"/>
    </x:row>
    <x:row r="202">
      <x:c r="A202" s="50"/>
      <x:c r="B202" s="50"/>
      <x:c r="C202" s="50"/>
      <x:c r="D202" s="50"/>
      <x:c r="E202" s="66" t="n">
        <x:f>SUMIF(Sales!$C:$C,B202,Sales!$I:$I)</x:f>
        <x:v>0</x:v>
      </x:c>
      <x:c r="F202" s="66"/>
      <x:c r="G202" s="66" t="n">
        <x:f>E202-F202</x:f>
        <x:v>0</x:v>
      </x:c>
      <x:c r="H202" s="64" t="n">
        <x:f>IFERROR(MAXIFS(Sales!$B:$B,Sales!$C:$C,B202),"")</x:f>
        <x:v>0</x:v>
      </x:c>
      <x:c r="I202" s="50"/>
      <x:c r="J202" s="50"/>
      <x:c r="K202" s="50"/>
      <x:c r="L202" s="50"/>
      <x:c r="M202" s="50"/>
      <x:c r="N202" s="50"/>
      <x:c r="O202" s="50"/>
    </x:row>
    <x:row r="203">
      <x:c r="A203" s="50"/>
      <x:c r="B203" s="50"/>
      <x:c r="C203" s="50"/>
      <x:c r="D203" s="50"/>
      <x:c r="E203" s="66" t="n">
        <x:f>SUMIF(Sales!$C:$C,B203,Sales!$I:$I)</x:f>
        <x:v>0</x:v>
      </x:c>
      <x:c r="F203" s="66"/>
      <x:c r="G203" s="66" t="n">
        <x:f>E203-F203</x:f>
        <x:v>0</x:v>
      </x:c>
      <x:c r="H203" s="64" t="n">
        <x:f>IFERROR(MAXIFS(Sales!$B:$B,Sales!$C:$C,B203),"")</x:f>
        <x:v>0</x:v>
      </x:c>
      <x:c r="I203" s="50"/>
      <x:c r="J203" s="50"/>
      <x:c r="K203" s="50"/>
      <x:c r="L203" s="50"/>
      <x:c r="M203" s="50"/>
      <x:c r="N203" s="50"/>
      <x:c r="O203" s="50"/>
    </x:row>
    <x:row r="204">
      <x:c r="A204" s="50"/>
      <x:c r="B204" s="50"/>
      <x:c r="C204" s="50"/>
      <x:c r="D204" s="50"/>
      <x:c r="E204" s="66" t="n">
        <x:f>SUMIF(Sales!$C:$C,B204,Sales!$I:$I)</x:f>
        <x:v>0</x:v>
      </x:c>
      <x:c r="F204" s="66"/>
      <x:c r="G204" s="66" t="n">
        <x:f>E204-F204</x:f>
        <x:v>0</x:v>
      </x:c>
      <x:c r="H204" s="64" t="n">
        <x:f>IFERROR(MAXIFS(Sales!$B:$B,Sales!$C:$C,B204),"")</x:f>
        <x:v>0</x:v>
      </x:c>
      <x:c r="I204" s="50"/>
      <x:c r="J204" s="50"/>
      <x:c r="K204" s="50"/>
      <x:c r="L204" s="50"/>
      <x:c r="M204" s="50"/>
      <x:c r="N204" s="50"/>
      <x:c r="O204" s="50"/>
    </x:row>
    <x:row r="205">
      <x:c r="A205" s="50"/>
      <x:c r="B205" s="50"/>
      <x:c r="C205" s="50"/>
      <x:c r="D205" s="50"/>
      <x:c r="E205" s="66" t="n">
        <x:f>SUMIF(Sales!$C:$C,B205,Sales!$I:$I)</x:f>
        <x:v>0</x:v>
      </x:c>
      <x:c r="F205" s="66"/>
      <x:c r="G205" s="66" t="n">
        <x:f>E205-F205</x:f>
        <x:v>0</x:v>
      </x:c>
      <x:c r="H205" s="64" t="n">
        <x:f>IFERROR(MAXIFS(Sales!$B:$B,Sales!$C:$C,B205),"")</x:f>
        <x:v>0</x:v>
      </x:c>
      <x:c r="I205" s="50"/>
      <x:c r="J205" s="50"/>
      <x:c r="K205" s="50"/>
      <x:c r="L205" s="50"/>
      <x:c r="M205" s="50"/>
      <x:c r="N205" s="50"/>
      <x:c r="O205" s="50"/>
    </x:row>
    <x:row r="206">
      <x:c r="A206" s="50"/>
      <x:c r="B206" s="50"/>
      <x:c r="C206" s="50"/>
      <x:c r="D206" s="50"/>
      <x:c r="E206" s="66" t="n">
        <x:f>SUMIF(Sales!$C:$C,B206,Sales!$I:$I)</x:f>
        <x:v>0</x:v>
      </x:c>
      <x:c r="F206" s="66"/>
      <x:c r="G206" s="66" t="n">
        <x:f>E206-F206</x:f>
        <x:v>0</x:v>
      </x:c>
      <x:c r="H206" s="64" t="n">
        <x:f>IFERROR(MAXIFS(Sales!$B:$B,Sales!$C:$C,B206),"")</x:f>
        <x:v>0</x:v>
      </x:c>
      <x:c r="I206" s="50"/>
      <x:c r="J206" s="50"/>
      <x:c r="K206" s="50"/>
      <x:c r="L206" s="50"/>
      <x:c r="M206" s="50"/>
      <x:c r="N206" s="50"/>
      <x:c r="O206" s="50"/>
    </x:row>
    <x:row r="207">
      <x:c r="A207" s="50"/>
      <x:c r="B207" s="50"/>
      <x:c r="C207" s="50"/>
      <x:c r="D207" s="50"/>
      <x:c r="E207" s="66" t="n">
        <x:f>SUMIF(Sales!$C:$C,B207,Sales!$I:$I)</x:f>
        <x:v>0</x:v>
      </x:c>
      <x:c r="F207" s="66"/>
      <x:c r="G207" s="66" t="n">
        <x:f>E207-F207</x:f>
        <x:v>0</x:v>
      </x:c>
      <x:c r="H207" s="64" t="n">
        <x:f>IFERROR(MAXIFS(Sales!$B:$B,Sales!$C:$C,B207),"")</x:f>
        <x:v>0</x:v>
      </x:c>
      <x:c r="I207" s="50"/>
      <x:c r="J207" s="50"/>
      <x:c r="K207" s="50"/>
      <x:c r="L207" s="50"/>
      <x:c r="M207" s="50"/>
      <x:c r="N207" s="50"/>
      <x:c r="O207" s="50"/>
    </x:row>
    <x:row r="208">
      <x:c r="A208" s="50"/>
      <x:c r="B208" s="50"/>
      <x:c r="C208" s="50"/>
      <x:c r="D208" s="50"/>
      <x:c r="E208" s="66" t="n">
        <x:f>SUMIF(Sales!$C:$C,B208,Sales!$I:$I)</x:f>
        <x:v>0</x:v>
      </x:c>
      <x:c r="F208" s="66"/>
      <x:c r="G208" s="66" t="n">
        <x:f>E208-F208</x:f>
        <x:v>0</x:v>
      </x:c>
      <x:c r="H208" s="64" t="n">
        <x:f>IFERROR(MAXIFS(Sales!$B:$B,Sales!$C:$C,B208),"")</x:f>
        <x:v>0</x:v>
      </x:c>
      <x:c r="I208" s="50"/>
      <x:c r="J208" s="50"/>
      <x:c r="K208" s="50"/>
      <x:c r="L208" s="50"/>
      <x:c r="M208" s="50"/>
      <x:c r="N208" s="50"/>
      <x:c r="O208" s="50"/>
    </x:row>
    <x:row r="209">
      <x:c r="A209" s="50"/>
      <x:c r="B209" s="50"/>
      <x:c r="C209" s="50"/>
      <x:c r="D209" s="50"/>
      <x:c r="E209" s="66" t="n">
        <x:f>SUMIF(Sales!$C:$C,B209,Sales!$I:$I)</x:f>
        <x:v>0</x:v>
      </x:c>
      <x:c r="F209" s="66"/>
      <x:c r="G209" s="66" t="n">
        <x:f>E209-F209</x:f>
        <x:v>0</x:v>
      </x:c>
      <x:c r="H209" s="64" t="n">
        <x:f>IFERROR(MAXIFS(Sales!$B:$B,Sales!$C:$C,B209),"")</x:f>
        <x:v>0</x:v>
      </x:c>
      <x:c r="I209" s="50"/>
      <x:c r="J209" s="50"/>
      <x:c r="K209" s="50"/>
      <x:c r="L209" s="50"/>
      <x:c r="M209" s="50"/>
      <x:c r="N209" s="50"/>
      <x:c r="O209" s="50"/>
    </x:row>
    <x:row r="210">
      <x:c r="A210" s="50"/>
      <x:c r="B210" s="50"/>
      <x:c r="C210" s="50"/>
      <x:c r="D210" s="50"/>
      <x:c r="E210" s="66" t="n">
        <x:f>SUMIF(Sales!$C:$C,B210,Sales!$I:$I)</x:f>
        <x:v>0</x:v>
      </x:c>
      <x:c r="F210" s="66"/>
      <x:c r="G210" s="66" t="n">
        <x:f>E210-F210</x:f>
        <x:v>0</x:v>
      </x:c>
      <x:c r="H210" s="64" t="n">
        <x:f>IFERROR(MAXIFS(Sales!$B:$B,Sales!$C:$C,B210),"")</x:f>
        <x:v>0</x:v>
      </x:c>
      <x:c r="I210" s="50"/>
      <x:c r="J210" s="50"/>
      <x:c r="K210" s="50"/>
      <x:c r="L210" s="50"/>
      <x:c r="M210" s="50"/>
      <x:c r="N210" s="50"/>
      <x:c r="O210" s="50"/>
    </x:row>
    <x:row r="211">
      <x:c r="A211" s="50"/>
      <x:c r="B211" s="50"/>
      <x:c r="C211" s="50"/>
      <x:c r="D211" s="50"/>
      <x:c r="E211" s="66" t="n">
        <x:f>SUMIF(Sales!$C:$C,B211,Sales!$I:$I)</x:f>
        <x:v>0</x:v>
      </x:c>
      <x:c r="F211" s="66"/>
      <x:c r="G211" s="66" t="n">
        <x:f>E211-F211</x:f>
        <x:v>0</x:v>
      </x:c>
      <x:c r="H211" s="64" t="n">
        <x:f>IFERROR(MAXIFS(Sales!$B:$B,Sales!$C:$C,B211),"")</x:f>
        <x:v>0</x:v>
      </x:c>
      <x:c r="I211" s="50"/>
      <x:c r="J211" s="50"/>
      <x:c r="K211" s="50"/>
      <x:c r="L211" s="50"/>
      <x:c r="M211" s="50"/>
      <x:c r="N211" s="50"/>
      <x:c r="O211" s="50"/>
    </x:row>
    <x:row r="212">
      <x:c r="A212" s="50"/>
      <x:c r="B212" s="50"/>
      <x:c r="C212" s="50"/>
      <x:c r="D212" s="50"/>
      <x:c r="E212" s="66" t="n">
        <x:f>SUMIF(Sales!$C:$C,B212,Sales!$I:$I)</x:f>
        <x:v>0</x:v>
      </x:c>
      <x:c r="F212" s="66"/>
      <x:c r="G212" s="66" t="n">
        <x:f>E212-F212</x:f>
        <x:v>0</x:v>
      </x:c>
      <x:c r="H212" s="64" t="n">
        <x:f>IFERROR(MAXIFS(Sales!$B:$B,Sales!$C:$C,B212),"")</x:f>
        <x:v>0</x:v>
      </x:c>
      <x:c r="I212" s="50"/>
      <x:c r="J212" s="50"/>
      <x:c r="K212" s="50"/>
      <x:c r="L212" s="50"/>
      <x:c r="M212" s="50"/>
      <x:c r="N212" s="50"/>
      <x:c r="O212" s="50"/>
    </x:row>
    <x:row r="213">
      <x:c r="A213" s="50"/>
      <x:c r="B213" s="50"/>
      <x:c r="C213" s="50"/>
      <x:c r="D213" s="50"/>
      <x:c r="E213" s="66" t="n">
        <x:f>SUMIF(Sales!$C:$C,B213,Sales!$I:$I)</x:f>
        <x:v>0</x:v>
      </x:c>
      <x:c r="F213" s="66"/>
      <x:c r="G213" s="66" t="n">
        <x:f>E213-F213</x:f>
        <x:v>0</x:v>
      </x:c>
      <x:c r="H213" s="64" t="n">
        <x:f>IFERROR(MAXIFS(Sales!$B:$B,Sales!$C:$C,B213),"")</x:f>
        <x:v>0</x:v>
      </x:c>
      <x:c r="I213" s="50"/>
      <x:c r="J213" s="50"/>
      <x:c r="K213" s="50"/>
      <x:c r="L213" s="50"/>
      <x:c r="M213" s="50"/>
      <x:c r="N213" s="50"/>
      <x:c r="O213" s="50"/>
    </x:row>
    <x:row r="214">
      <x:c r="A214" s="50"/>
      <x:c r="B214" s="50"/>
      <x:c r="C214" s="50"/>
      <x:c r="D214" s="50"/>
      <x:c r="E214" s="66" t="n">
        <x:f>SUMIF(Sales!$C:$C,B214,Sales!$I:$I)</x:f>
        <x:v>0</x:v>
      </x:c>
      <x:c r="F214" s="66"/>
      <x:c r="G214" s="66" t="n">
        <x:f>E214-F214</x:f>
        <x:v>0</x:v>
      </x:c>
      <x:c r="H214" s="64" t="n">
        <x:f>IFERROR(MAXIFS(Sales!$B:$B,Sales!$C:$C,B214),"")</x:f>
        <x:v>0</x:v>
      </x:c>
      <x:c r="I214" s="50"/>
      <x:c r="J214" s="50"/>
      <x:c r="K214" s="50"/>
      <x:c r="L214" s="50"/>
      <x:c r="M214" s="50"/>
      <x:c r="N214" s="50"/>
      <x:c r="O214" s="50"/>
    </x:row>
    <x:row r="215">
      <x:c r="A215" s="50"/>
      <x:c r="B215" s="50"/>
      <x:c r="C215" s="50"/>
      <x:c r="D215" s="50"/>
      <x:c r="E215" s="66" t="n">
        <x:f>SUMIF(Sales!$C:$C,B215,Sales!$I:$I)</x:f>
        <x:v>0</x:v>
      </x:c>
      <x:c r="F215" s="66"/>
      <x:c r="G215" s="66" t="n">
        <x:f>E215-F215</x:f>
        <x:v>0</x:v>
      </x:c>
      <x:c r="H215" s="64" t="n">
        <x:f>IFERROR(MAXIFS(Sales!$B:$B,Sales!$C:$C,B215),"")</x:f>
        <x:v>0</x:v>
      </x:c>
      <x:c r="I215" s="50"/>
      <x:c r="J215" s="50"/>
      <x:c r="K215" s="50"/>
      <x:c r="L215" s="50"/>
      <x:c r="M215" s="50"/>
      <x:c r="N215" s="50"/>
      <x:c r="O215" s="50"/>
    </x:row>
    <x:row r="216">
      <x:c r="A216" s="50"/>
      <x:c r="B216" s="50"/>
      <x:c r="C216" s="50"/>
      <x:c r="D216" s="50"/>
      <x:c r="E216" s="66" t="n">
        <x:f>SUMIF(Sales!$C:$C,B216,Sales!$I:$I)</x:f>
        <x:v>0</x:v>
      </x:c>
      <x:c r="F216" s="66"/>
      <x:c r="G216" s="66" t="n">
        <x:f>E216-F216</x:f>
        <x:v>0</x:v>
      </x:c>
      <x:c r="H216" s="64" t="n">
        <x:f>IFERROR(MAXIFS(Sales!$B:$B,Sales!$C:$C,B216),"")</x:f>
        <x:v>0</x:v>
      </x:c>
      <x:c r="I216" s="50"/>
      <x:c r="J216" s="50"/>
      <x:c r="K216" s="50"/>
      <x:c r="L216" s="50"/>
      <x:c r="M216" s="50"/>
      <x:c r="N216" s="50"/>
      <x:c r="O216" s="50"/>
    </x:row>
    <x:row r="217">
      <x:c r="A217" s="50"/>
      <x:c r="B217" s="50"/>
      <x:c r="C217" s="50"/>
      <x:c r="D217" s="50"/>
      <x:c r="E217" s="66" t="n">
        <x:f>SUMIF(Sales!$C:$C,B217,Sales!$I:$I)</x:f>
        <x:v>0</x:v>
      </x:c>
      <x:c r="F217" s="66"/>
      <x:c r="G217" s="66" t="n">
        <x:f>E217-F217</x:f>
        <x:v>0</x:v>
      </x:c>
      <x:c r="H217" s="64" t="n">
        <x:f>IFERROR(MAXIFS(Sales!$B:$B,Sales!$C:$C,B217),"")</x:f>
        <x:v>0</x:v>
      </x:c>
      <x:c r="I217" s="50"/>
      <x:c r="J217" s="50"/>
      <x:c r="K217" s="50"/>
      <x:c r="L217" s="50"/>
      <x:c r="M217" s="50"/>
      <x:c r="N217" s="50"/>
      <x:c r="O217" s="50"/>
    </x:row>
    <x:row r="218">
      <x:c r="A218" s="50"/>
      <x:c r="B218" s="50"/>
      <x:c r="C218" s="50"/>
      <x:c r="D218" s="50"/>
      <x:c r="E218" s="66" t="n">
        <x:f>SUMIF(Sales!$C:$C,B218,Sales!$I:$I)</x:f>
        <x:v>0</x:v>
      </x:c>
      <x:c r="F218" s="66"/>
      <x:c r="G218" s="66" t="n">
        <x:f>E218-F218</x:f>
        <x:v>0</x:v>
      </x:c>
      <x:c r="H218" s="64" t="n">
        <x:f>IFERROR(MAXIFS(Sales!$B:$B,Sales!$C:$C,B218),"")</x:f>
        <x:v>0</x:v>
      </x:c>
      <x:c r="I218" s="50"/>
      <x:c r="J218" s="50"/>
      <x:c r="K218" s="50"/>
      <x:c r="L218" s="50"/>
      <x:c r="M218" s="50"/>
      <x:c r="N218" s="50"/>
      <x:c r="O218" s="50"/>
    </x:row>
    <x:row r="219">
      <x:c r="A219" s="50"/>
      <x:c r="B219" s="50"/>
      <x:c r="C219" s="50"/>
      <x:c r="D219" s="50"/>
      <x:c r="E219" s="66" t="n">
        <x:f>SUMIF(Sales!$C:$C,B219,Sales!$I:$I)</x:f>
        <x:v>0</x:v>
      </x:c>
      <x:c r="F219" s="66"/>
      <x:c r="G219" s="66" t="n">
        <x:f>E219-F219</x:f>
        <x:v>0</x:v>
      </x:c>
      <x:c r="H219" s="64" t="n">
        <x:f>IFERROR(MAXIFS(Sales!$B:$B,Sales!$C:$C,B219),"")</x:f>
        <x:v>0</x:v>
      </x:c>
      <x:c r="I219" s="50"/>
      <x:c r="J219" s="50"/>
      <x:c r="K219" s="50"/>
      <x:c r="L219" s="50"/>
      <x:c r="M219" s="50"/>
      <x:c r="N219" s="50"/>
      <x:c r="O219" s="50"/>
    </x:row>
    <x:row r="220">
      <x:c r="A220" s="50"/>
      <x:c r="B220" s="50"/>
      <x:c r="C220" s="50"/>
      <x:c r="D220" s="50"/>
      <x:c r="E220" s="66" t="n">
        <x:f>SUMIF(Sales!$C:$C,B220,Sales!$I:$I)</x:f>
        <x:v>0</x:v>
      </x:c>
      <x:c r="F220" s="66"/>
      <x:c r="G220" s="66" t="n">
        <x:f>E220-F220</x:f>
        <x:v>0</x:v>
      </x:c>
      <x:c r="H220" s="64" t="n">
        <x:f>IFERROR(MAXIFS(Sales!$B:$B,Sales!$C:$C,B220),"")</x:f>
        <x:v>0</x:v>
      </x:c>
      <x:c r="I220" s="50"/>
      <x:c r="J220" s="50"/>
      <x:c r="K220" s="50"/>
      <x:c r="L220" s="50"/>
      <x:c r="M220" s="50"/>
      <x:c r="N220" s="50"/>
      <x:c r="O220" s="50"/>
    </x:row>
    <x:row r="221">
      <x:c r="A221" s="50"/>
      <x:c r="B221" s="50"/>
      <x:c r="C221" s="50"/>
      <x:c r="D221" s="50"/>
      <x:c r="E221" s="66" t="n">
        <x:f>SUMIF(Sales!$C:$C,B221,Sales!$I:$I)</x:f>
        <x:v>0</x:v>
      </x:c>
      <x:c r="F221" s="66"/>
      <x:c r="G221" s="66" t="n">
        <x:f>E221-F221</x:f>
        <x:v>0</x:v>
      </x:c>
      <x:c r="H221" s="64" t="n">
        <x:f>IFERROR(MAXIFS(Sales!$B:$B,Sales!$C:$C,B221),"")</x:f>
        <x:v>0</x:v>
      </x:c>
      <x:c r="I221" s="50"/>
      <x:c r="J221" s="50"/>
      <x:c r="K221" s="50"/>
      <x:c r="L221" s="50"/>
      <x:c r="M221" s="50"/>
      <x:c r="N221" s="50"/>
      <x:c r="O221" s="50"/>
    </x:row>
    <x:row r="222">
      <x:c r="A222" s="50"/>
      <x:c r="B222" s="50"/>
      <x:c r="C222" s="50"/>
      <x:c r="D222" s="50"/>
      <x:c r="E222" s="66" t="n">
        <x:f>SUMIF(Sales!$C:$C,B222,Sales!$I:$I)</x:f>
        <x:v>0</x:v>
      </x:c>
      <x:c r="F222" s="66"/>
      <x:c r="G222" s="66" t="n">
        <x:f>E222-F222</x:f>
        <x:v>0</x:v>
      </x:c>
      <x:c r="H222" s="64" t="n">
        <x:f>IFERROR(MAXIFS(Sales!$B:$B,Sales!$C:$C,B222),"")</x:f>
        <x:v>0</x:v>
      </x:c>
      <x:c r="I222" s="50"/>
      <x:c r="J222" s="50"/>
      <x:c r="K222" s="50"/>
      <x:c r="L222" s="50"/>
      <x:c r="M222" s="50"/>
      <x:c r="N222" s="50"/>
      <x:c r="O222" s="50"/>
    </x:row>
    <x:row r="223">
      <x:c r="A223" s="50"/>
      <x:c r="B223" s="50"/>
      <x:c r="C223" s="50"/>
      <x:c r="D223" s="50"/>
      <x:c r="E223" s="66" t="n">
        <x:f>SUMIF(Sales!$C:$C,B223,Sales!$I:$I)</x:f>
        <x:v>0</x:v>
      </x:c>
      <x:c r="F223" s="66"/>
      <x:c r="G223" s="66" t="n">
        <x:f>E223-F223</x:f>
        <x:v>0</x:v>
      </x:c>
      <x:c r="H223" s="64" t="n">
        <x:f>IFERROR(MAXIFS(Sales!$B:$B,Sales!$C:$C,B223),"")</x:f>
        <x:v>0</x:v>
      </x:c>
      <x:c r="I223" s="50"/>
      <x:c r="J223" s="50"/>
      <x:c r="K223" s="50"/>
      <x:c r="L223" s="50"/>
      <x:c r="M223" s="50"/>
      <x:c r="N223" s="50"/>
      <x:c r="O223" s="50"/>
    </x:row>
    <x:row r="224">
      <x:c r="A224" s="50"/>
      <x:c r="B224" s="50"/>
      <x:c r="C224" s="50"/>
      <x:c r="D224" s="50"/>
      <x:c r="E224" s="66" t="n">
        <x:f>SUMIF(Sales!$C:$C,B224,Sales!$I:$I)</x:f>
        <x:v>0</x:v>
      </x:c>
      <x:c r="F224" s="66"/>
      <x:c r="G224" s="66" t="n">
        <x:f>E224-F224</x:f>
        <x:v>0</x:v>
      </x:c>
      <x:c r="H224" s="64" t="n">
        <x:f>IFERROR(MAXIFS(Sales!$B:$B,Sales!$C:$C,B224),"")</x:f>
        <x:v>0</x:v>
      </x:c>
      <x:c r="I224" s="50"/>
      <x:c r="J224" s="50"/>
      <x:c r="K224" s="50"/>
      <x:c r="L224" s="50"/>
      <x:c r="M224" s="50"/>
      <x:c r="N224" s="50"/>
      <x:c r="O224" s="50"/>
    </x:row>
    <x:row r="225">
      <x:c r="A225" s="50"/>
      <x:c r="B225" s="50"/>
      <x:c r="C225" s="50"/>
      <x:c r="D225" s="50"/>
      <x:c r="E225" s="66" t="n">
        <x:f>SUMIF(Sales!$C:$C,B225,Sales!$I:$I)</x:f>
        <x:v>0</x:v>
      </x:c>
      <x:c r="F225" s="66"/>
      <x:c r="G225" s="66" t="n">
        <x:f>E225-F225</x:f>
        <x:v>0</x:v>
      </x:c>
      <x:c r="H225" s="64" t="n">
        <x:f>IFERROR(MAXIFS(Sales!$B:$B,Sales!$C:$C,B225),"")</x:f>
        <x:v>0</x:v>
      </x:c>
      <x:c r="I225" s="50"/>
      <x:c r="J225" s="50"/>
      <x:c r="K225" s="50"/>
      <x:c r="L225" s="50"/>
      <x:c r="M225" s="50"/>
      <x:c r="N225" s="50"/>
      <x:c r="O225" s="50"/>
    </x:row>
    <x:row r="226">
      <x:c r="A226" s="50"/>
      <x:c r="B226" s="50"/>
      <x:c r="C226" s="50"/>
      <x:c r="D226" s="50"/>
      <x:c r="E226" s="66" t="n">
        <x:f>SUMIF(Sales!$C:$C,B226,Sales!$I:$I)</x:f>
        <x:v>0</x:v>
      </x:c>
      <x:c r="F226" s="66"/>
      <x:c r="G226" s="66" t="n">
        <x:f>E226-F226</x:f>
        <x:v>0</x:v>
      </x:c>
      <x:c r="H226" s="64" t="n">
        <x:f>IFERROR(MAXIFS(Sales!$B:$B,Sales!$C:$C,B226),"")</x:f>
        <x:v>0</x:v>
      </x:c>
      <x:c r="I226" s="50"/>
      <x:c r="J226" s="50"/>
      <x:c r="K226" s="50"/>
      <x:c r="L226" s="50"/>
      <x:c r="M226" s="50"/>
      <x:c r="N226" s="50"/>
      <x:c r="O226" s="50"/>
    </x:row>
    <x:row r="227">
      <x:c r="A227" s="50"/>
      <x:c r="B227" s="50"/>
      <x:c r="C227" s="50"/>
      <x:c r="D227" s="50"/>
      <x:c r="E227" s="66" t="n">
        <x:f>SUMIF(Sales!$C:$C,B227,Sales!$I:$I)</x:f>
        <x:v>0</x:v>
      </x:c>
      <x:c r="F227" s="66"/>
      <x:c r="G227" s="66" t="n">
        <x:f>E227-F227</x:f>
        <x:v>0</x:v>
      </x:c>
      <x:c r="H227" s="64" t="n">
        <x:f>IFERROR(MAXIFS(Sales!$B:$B,Sales!$C:$C,B227),"")</x:f>
        <x:v>0</x:v>
      </x:c>
      <x:c r="I227" s="50"/>
      <x:c r="J227" s="50"/>
      <x:c r="K227" s="50"/>
      <x:c r="L227" s="50"/>
      <x:c r="M227" s="50"/>
      <x:c r="N227" s="50"/>
      <x:c r="O227" s="50"/>
    </x:row>
    <x:row r="228">
      <x:c r="A228" s="50"/>
      <x:c r="B228" s="50"/>
      <x:c r="C228" s="50"/>
      <x:c r="D228" s="50"/>
      <x:c r="E228" s="66" t="n">
        <x:f>SUMIF(Sales!$C:$C,B228,Sales!$I:$I)</x:f>
        <x:v>0</x:v>
      </x:c>
      <x:c r="F228" s="66"/>
      <x:c r="G228" s="66" t="n">
        <x:f>E228-F228</x:f>
        <x:v>0</x:v>
      </x:c>
      <x:c r="H228" s="64" t="n">
        <x:f>IFERROR(MAXIFS(Sales!$B:$B,Sales!$C:$C,B228),"")</x:f>
        <x:v>0</x:v>
      </x:c>
      <x:c r="I228" s="50"/>
      <x:c r="J228" s="50"/>
      <x:c r="K228" s="50"/>
      <x:c r="L228" s="50"/>
      <x:c r="M228" s="50"/>
      <x:c r="N228" s="50"/>
      <x:c r="O228" s="50"/>
    </x:row>
    <x:row r="229">
      <x:c r="A229" s="50"/>
      <x:c r="B229" s="50"/>
      <x:c r="C229" s="50"/>
      <x:c r="D229" s="50"/>
      <x:c r="E229" s="66" t="n">
        <x:f>SUMIF(Sales!$C:$C,B229,Sales!$I:$I)</x:f>
        <x:v>0</x:v>
      </x:c>
      <x:c r="F229" s="66"/>
      <x:c r="G229" s="66" t="n">
        <x:f>E229-F229</x:f>
        <x:v>0</x:v>
      </x:c>
      <x:c r="H229" s="64" t="n">
        <x:f>IFERROR(MAXIFS(Sales!$B:$B,Sales!$C:$C,B229),"")</x:f>
        <x:v>0</x:v>
      </x:c>
      <x:c r="I229" s="50"/>
      <x:c r="J229" s="50"/>
      <x:c r="K229" s="50"/>
      <x:c r="L229" s="50"/>
      <x:c r="M229" s="50"/>
      <x:c r="N229" s="50"/>
      <x:c r="O229" s="50"/>
    </x:row>
    <x:row r="230">
      <x:c r="A230" s="50"/>
      <x:c r="B230" s="50"/>
      <x:c r="C230" s="50"/>
      <x:c r="D230" s="50"/>
      <x:c r="E230" s="66" t="n">
        <x:f>SUMIF(Sales!$C:$C,B230,Sales!$I:$I)</x:f>
        <x:v>0</x:v>
      </x:c>
      <x:c r="F230" s="66"/>
      <x:c r="G230" s="66" t="n">
        <x:f>E230-F230</x:f>
        <x:v>0</x:v>
      </x:c>
      <x:c r="H230" s="64" t="n">
        <x:f>IFERROR(MAXIFS(Sales!$B:$B,Sales!$C:$C,B230),"")</x:f>
        <x:v>0</x:v>
      </x:c>
      <x:c r="I230" s="50"/>
      <x:c r="J230" s="50"/>
      <x:c r="K230" s="50"/>
      <x:c r="L230" s="50"/>
      <x:c r="M230" s="50"/>
      <x:c r="N230" s="50"/>
      <x:c r="O230" s="50"/>
    </x:row>
    <x:row r="231">
      <x:c r="A231" s="50"/>
      <x:c r="B231" s="50"/>
      <x:c r="C231" s="50"/>
      <x:c r="D231" s="50"/>
      <x:c r="E231" s="66" t="n">
        <x:f>SUMIF(Sales!$C:$C,B231,Sales!$I:$I)</x:f>
        <x:v>0</x:v>
      </x:c>
      <x:c r="F231" s="66"/>
      <x:c r="G231" s="66" t="n">
        <x:f>E231-F231</x:f>
        <x:v>0</x:v>
      </x:c>
      <x:c r="H231" s="64" t="n">
        <x:f>IFERROR(MAXIFS(Sales!$B:$B,Sales!$C:$C,B231),"")</x:f>
        <x:v>0</x:v>
      </x:c>
      <x:c r="I231" s="50"/>
      <x:c r="J231" s="50"/>
      <x:c r="K231" s="50"/>
      <x:c r="L231" s="50"/>
      <x:c r="M231" s="50"/>
      <x:c r="N231" s="50"/>
      <x:c r="O231" s="50"/>
    </x:row>
    <x:row r="232">
      <x:c r="A232" s="50"/>
      <x:c r="B232" s="50"/>
      <x:c r="C232" s="50"/>
      <x:c r="D232" s="50"/>
      <x:c r="E232" s="66" t="n">
        <x:f>SUMIF(Sales!$C:$C,B232,Sales!$I:$I)</x:f>
        <x:v>0</x:v>
      </x:c>
      <x:c r="F232" s="66"/>
      <x:c r="G232" s="66" t="n">
        <x:f>E232-F232</x:f>
        <x:v>0</x:v>
      </x:c>
      <x:c r="H232" s="64" t="n">
        <x:f>IFERROR(MAXIFS(Sales!$B:$B,Sales!$C:$C,B232),"")</x:f>
        <x:v>0</x:v>
      </x:c>
      <x:c r="I232" s="50"/>
      <x:c r="J232" s="50"/>
      <x:c r="K232" s="50"/>
      <x:c r="L232" s="50"/>
      <x:c r="M232" s="50"/>
      <x:c r="N232" s="50"/>
      <x:c r="O232" s="50"/>
    </x:row>
    <x:row r="233">
      <x:c r="A233" s="50"/>
      <x:c r="B233" s="50"/>
      <x:c r="C233" s="50"/>
      <x:c r="D233" s="50"/>
      <x:c r="E233" s="66" t="n">
        <x:f>SUMIF(Sales!$C:$C,B233,Sales!$I:$I)</x:f>
        <x:v>0</x:v>
      </x:c>
      <x:c r="F233" s="66"/>
      <x:c r="G233" s="66" t="n">
        <x:f>E233-F233</x:f>
        <x:v>0</x:v>
      </x:c>
      <x:c r="H233" s="64" t="n">
        <x:f>IFERROR(MAXIFS(Sales!$B:$B,Sales!$C:$C,B233),"")</x:f>
        <x:v>0</x:v>
      </x:c>
      <x:c r="I233" s="50"/>
      <x:c r="J233" s="50"/>
      <x:c r="K233" s="50"/>
      <x:c r="L233" s="50"/>
      <x:c r="M233" s="50"/>
      <x:c r="N233" s="50"/>
      <x:c r="O233" s="50"/>
    </x:row>
    <x:row r="234">
      <x:c r="A234" s="50"/>
      <x:c r="B234" s="50"/>
      <x:c r="C234" s="50"/>
      <x:c r="D234" s="50"/>
      <x:c r="E234" s="66" t="n">
        <x:f>SUMIF(Sales!$C:$C,B234,Sales!$I:$I)</x:f>
        <x:v>0</x:v>
      </x:c>
      <x:c r="F234" s="66"/>
      <x:c r="G234" s="66" t="n">
        <x:f>E234-F234</x:f>
        <x:v>0</x:v>
      </x:c>
      <x:c r="H234" s="64" t="n">
        <x:f>IFERROR(MAXIFS(Sales!$B:$B,Sales!$C:$C,B234),"")</x:f>
        <x:v>0</x:v>
      </x:c>
      <x:c r="I234" s="50"/>
      <x:c r="J234" s="50"/>
      <x:c r="K234" s="50"/>
      <x:c r="L234" s="50"/>
      <x:c r="M234" s="50"/>
      <x:c r="N234" s="50"/>
      <x:c r="O234" s="50"/>
    </x:row>
    <x:row r="235">
      <x:c r="A235" s="50"/>
      <x:c r="B235" s="50"/>
      <x:c r="C235" s="50"/>
      <x:c r="D235" s="50"/>
      <x:c r="E235" s="66" t="n">
        <x:f>SUMIF(Sales!$C:$C,B235,Sales!$I:$I)</x:f>
        <x:v>0</x:v>
      </x:c>
      <x:c r="F235" s="66"/>
      <x:c r="G235" s="66" t="n">
        <x:f>E235-F235</x:f>
        <x:v>0</x:v>
      </x:c>
      <x:c r="H235" s="64" t="n">
        <x:f>IFERROR(MAXIFS(Sales!$B:$B,Sales!$C:$C,B235),"")</x:f>
        <x:v>0</x:v>
      </x:c>
      <x:c r="I235" s="50"/>
      <x:c r="J235" s="50"/>
      <x:c r="K235" s="50"/>
      <x:c r="L235" s="50"/>
      <x:c r="M235" s="50"/>
      <x:c r="N235" s="50"/>
      <x:c r="O235" s="50"/>
    </x:row>
    <x:row r="236">
      <x:c r="A236" s="50"/>
      <x:c r="B236" s="50"/>
      <x:c r="C236" s="50"/>
      <x:c r="D236" s="50"/>
      <x:c r="E236" s="66" t="n">
        <x:f>SUMIF(Sales!$C:$C,B236,Sales!$I:$I)</x:f>
        <x:v>0</x:v>
      </x:c>
      <x:c r="F236" s="66"/>
      <x:c r="G236" s="66" t="n">
        <x:f>E236-F236</x:f>
        <x:v>0</x:v>
      </x:c>
      <x:c r="H236" s="64" t="n">
        <x:f>IFERROR(MAXIFS(Sales!$B:$B,Sales!$C:$C,B236),"")</x:f>
        <x:v>0</x:v>
      </x:c>
      <x:c r="I236" s="50"/>
      <x:c r="J236" s="50"/>
      <x:c r="K236" s="50"/>
      <x:c r="L236" s="50"/>
      <x:c r="M236" s="50"/>
      <x:c r="N236" s="50"/>
      <x:c r="O236" s="50"/>
    </x:row>
    <x:row r="237">
      <x:c r="A237" s="50"/>
      <x:c r="B237" s="50"/>
      <x:c r="C237" s="50"/>
      <x:c r="D237" s="50"/>
      <x:c r="E237" s="66" t="n">
        <x:f>SUMIF(Sales!$C:$C,B237,Sales!$I:$I)</x:f>
        <x:v>0</x:v>
      </x:c>
      <x:c r="F237" s="66"/>
      <x:c r="G237" s="66" t="n">
        <x:f>E237-F237</x:f>
        <x:v>0</x:v>
      </x:c>
      <x:c r="H237" s="64" t="n">
        <x:f>IFERROR(MAXIFS(Sales!$B:$B,Sales!$C:$C,B237),"")</x:f>
        <x:v>0</x:v>
      </x:c>
      <x:c r="I237" s="50"/>
      <x:c r="J237" s="50"/>
      <x:c r="K237" s="50"/>
      <x:c r="L237" s="50"/>
      <x:c r="M237" s="50"/>
      <x:c r="N237" s="50"/>
      <x:c r="O237" s="50"/>
    </x:row>
    <x:row r="238">
      <x:c r="A238" s="50"/>
      <x:c r="B238" s="50"/>
      <x:c r="C238" s="50"/>
      <x:c r="D238" s="50"/>
      <x:c r="E238" s="66" t="n">
        <x:f>SUMIF(Sales!$C:$C,B238,Sales!$I:$I)</x:f>
        <x:v>0</x:v>
      </x:c>
      <x:c r="F238" s="66"/>
      <x:c r="G238" s="66" t="n">
        <x:f>E238-F238</x:f>
        <x:v>0</x:v>
      </x:c>
      <x:c r="H238" s="64" t="n">
        <x:f>IFERROR(MAXIFS(Sales!$B:$B,Sales!$C:$C,B238),"")</x:f>
        <x:v>0</x:v>
      </x:c>
      <x:c r="I238" s="50"/>
      <x:c r="J238" s="50"/>
      <x:c r="K238" s="50"/>
      <x:c r="L238" s="50"/>
      <x:c r="M238" s="50"/>
      <x:c r="N238" s="50"/>
      <x:c r="O238" s="50"/>
    </x:row>
    <x:row r="239">
      <x:c r="A239" s="50"/>
      <x:c r="B239" s="50"/>
      <x:c r="C239" s="50"/>
      <x:c r="D239" s="50"/>
      <x:c r="E239" s="66" t="n">
        <x:f>SUMIF(Sales!$C:$C,B239,Sales!$I:$I)</x:f>
        <x:v>0</x:v>
      </x:c>
      <x:c r="F239" s="66"/>
      <x:c r="G239" s="66" t="n">
        <x:f>E239-F239</x:f>
        <x:v>0</x:v>
      </x:c>
      <x:c r="H239" s="64" t="n">
        <x:f>IFERROR(MAXIFS(Sales!$B:$B,Sales!$C:$C,B239),"")</x:f>
        <x:v>0</x:v>
      </x:c>
      <x:c r="I239" s="50"/>
      <x:c r="J239" s="50"/>
      <x:c r="K239" s="50"/>
      <x:c r="L239" s="50"/>
      <x:c r="M239" s="50"/>
      <x:c r="N239" s="50"/>
      <x:c r="O239" s="50"/>
    </x:row>
    <x:row r="240">
      <x:c r="A240" s="50"/>
      <x:c r="B240" s="50"/>
      <x:c r="C240" s="50"/>
      <x:c r="D240" s="50"/>
      <x:c r="E240" s="66" t="n">
        <x:f>SUMIF(Sales!$C:$C,B240,Sales!$I:$I)</x:f>
        <x:v>0</x:v>
      </x:c>
      <x:c r="F240" s="66"/>
      <x:c r="G240" s="66" t="n">
        <x:f>E240-F240</x:f>
        <x:v>0</x:v>
      </x:c>
      <x:c r="H240" s="64" t="n">
        <x:f>IFERROR(MAXIFS(Sales!$B:$B,Sales!$C:$C,B240),"")</x:f>
        <x:v>0</x:v>
      </x:c>
      <x:c r="I240" s="50"/>
      <x:c r="J240" s="50"/>
      <x:c r="K240" s="50"/>
      <x:c r="L240" s="50"/>
      <x:c r="M240" s="50"/>
      <x:c r="N240" s="50"/>
      <x:c r="O240" s="50"/>
    </x:row>
    <x:row r="241">
      <x:c r="A241" s="50"/>
      <x:c r="B241" s="50"/>
      <x:c r="C241" s="50"/>
      <x:c r="D241" s="50"/>
      <x:c r="E241" s="66" t="n">
        <x:f>SUMIF(Sales!$C:$C,B241,Sales!$I:$I)</x:f>
        <x:v>0</x:v>
      </x:c>
      <x:c r="F241" s="66"/>
      <x:c r="G241" s="66" t="n">
        <x:f>E241-F241</x:f>
        <x:v>0</x:v>
      </x:c>
      <x:c r="H241" s="64" t="n">
        <x:f>IFERROR(MAXIFS(Sales!$B:$B,Sales!$C:$C,B241),"")</x:f>
        <x:v>0</x:v>
      </x:c>
      <x:c r="I241" s="50"/>
      <x:c r="J241" s="50"/>
      <x:c r="K241" s="50"/>
      <x:c r="L241" s="50"/>
      <x:c r="M241" s="50"/>
      <x:c r="N241" s="50"/>
      <x:c r="O241" s="50"/>
    </x:row>
    <x:row r="242">
      <x:c r="A242" s="50"/>
      <x:c r="B242" s="50"/>
      <x:c r="C242" s="50"/>
      <x:c r="D242" s="50"/>
      <x:c r="E242" s="66" t="n">
        <x:f>SUMIF(Sales!$C:$C,B242,Sales!$I:$I)</x:f>
        <x:v>0</x:v>
      </x:c>
      <x:c r="F242" s="66"/>
      <x:c r="G242" s="66" t="n">
        <x:f>E242-F242</x:f>
        <x:v>0</x:v>
      </x:c>
      <x:c r="H242" s="64" t="n">
        <x:f>IFERROR(MAXIFS(Sales!$B:$B,Sales!$C:$C,B242),"")</x:f>
        <x:v>0</x:v>
      </x:c>
      <x:c r="I242" s="50"/>
      <x:c r="J242" s="50"/>
      <x:c r="K242" s="50"/>
      <x:c r="L242" s="50"/>
      <x:c r="M242" s="50"/>
      <x:c r="N242" s="50"/>
      <x:c r="O242" s="50"/>
    </x:row>
    <x:row r="243">
      <x:c r="A243" s="50"/>
      <x:c r="B243" s="50"/>
      <x:c r="C243" s="50"/>
      <x:c r="D243" s="50"/>
      <x:c r="E243" s="66" t="n">
        <x:f>SUMIF(Sales!$C:$C,B243,Sales!$I:$I)</x:f>
        <x:v>0</x:v>
      </x:c>
      <x:c r="F243" s="66"/>
      <x:c r="G243" s="66" t="n">
        <x:f>E243-F243</x:f>
        <x:v>0</x:v>
      </x:c>
      <x:c r="H243" s="64" t="n">
        <x:f>IFERROR(MAXIFS(Sales!$B:$B,Sales!$C:$C,B243),"")</x:f>
        <x:v>0</x:v>
      </x:c>
      <x:c r="I243" s="50"/>
      <x:c r="J243" s="50"/>
      <x:c r="K243" s="50"/>
      <x:c r="L243" s="50"/>
      <x:c r="M243" s="50"/>
      <x:c r="N243" s="50"/>
      <x:c r="O243" s="50"/>
    </x:row>
    <x:row r="244">
      <x:c r="A244" s="50"/>
      <x:c r="B244" s="50"/>
      <x:c r="C244" s="50"/>
      <x:c r="D244" s="50"/>
      <x:c r="E244" s="66" t="n">
        <x:f>SUMIF(Sales!$C:$C,B244,Sales!$I:$I)</x:f>
        <x:v>0</x:v>
      </x:c>
      <x:c r="F244" s="66"/>
      <x:c r="G244" s="66" t="n">
        <x:f>E244-F244</x:f>
        <x:v>0</x:v>
      </x:c>
      <x:c r="H244" s="64" t="n">
        <x:f>IFERROR(MAXIFS(Sales!$B:$B,Sales!$C:$C,B244),"")</x:f>
        <x:v>0</x:v>
      </x:c>
      <x:c r="I244" s="50"/>
      <x:c r="J244" s="50"/>
      <x:c r="K244" s="50"/>
      <x:c r="L244" s="50"/>
      <x:c r="M244" s="50"/>
      <x:c r="N244" s="50"/>
      <x:c r="O244" s="50"/>
    </x:row>
    <x:row r="245">
      <x:c r="A245" s="50"/>
      <x:c r="B245" s="50"/>
      <x:c r="C245" s="50"/>
      <x:c r="D245" s="50"/>
      <x:c r="E245" s="66" t="n">
        <x:f>SUMIF(Sales!$C:$C,B245,Sales!$I:$I)</x:f>
        <x:v>0</x:v>
      </x:c>
      <x:c r="F245" s="66"/>
      <x:c r="G245" s="66" t="n">
        <x:f>E245-F245</x:f>
        <x:v>0</x:v>
      </x:c>
      <x:c r="H245" s="64" t="n">
        <x:f>IFERROR(MAXIFS(Sales!$B:$B,Sales!$C:$C,B245),"")</x:f>
        <x:v>0</x:v>
      </x:c>
      <x:c r="I245" s="50"/>
      <x:c r="J245" s="50"/>
      <x:c r="K245" s="50"/>
      <x:c r="L245" s="50"/>
      <x:c r="M245" s="50"/>
      <x:c r="N245" s="50"/>
      <x:c r="O245" s="50"/>
    </x:row>
    <x:row r="246">
      <x:c r="A246" s="50"/>
      <x:c r="B246" s="50"/>
      <x:c r="C246" s="50"/>
      <x:c r="D246" s="50"/>
      <x:c r="E246" s="66" t="n">
        <x:f>SUMIF(Sales!$C:$C,B246,Sales!$I:$I)</x:f>
        <x:v>0</x:v>
      </x:c>
      <x:c r="F246" s="66"/>
      <x:c r="G246" s="66" t="n">
        <x:f>E246-F246</x:f>
        <x:v>0</x:v>
      </x:c>
      <x:c r="H246" s="64" t="n">
        <x:f>IFERROR(MAXIFS(Sales!$B:$B,Sales!$C:$C,B246),"")</x:f>
        <x:v>0</x:v>
      </x:c>
      <x:c r="I246" s="50"/>
      <x:c r="J246" s="50"/>
      <x:c r="K246" s="50"/>
      <x:c r="L246" s="50"/>
      <x:c r="M246" s="50"/>
      <x:c r="N246" s="50"/>
      <x:c r="O246" s="50"/>
    </x:row>
    <x:row r="247">
      <x:c r="A247" s="50"/>
      <x:c r="B247" s="50"/>
      <x:c r="C247" s="50"/>
      <x:c r="D247" s="50"/>
      <x:c r="E247" s="66" t="n">
        <x:f>SUMIF(Sales!$C:$C,B247,Sales!$I:$I)</x:f>
        <x:v>0</x:v>
      </x:c>
      <x:c r="F247" s="66"/>
      <x:c r="G247" s="66" t="n">
        <x:f>E247-F247</x:f>
        <x:v>0</x:v>
      </x:c>
      <x:c r="H247" s="64" t="n">
        <x:f>IFERROR(MAXIFS(Sales!$B:$B,Sales!$C:$C,B247),"")</x:f>
        <x:v>0</x:v>
      </x:c>
      <x:c r="I247" s="50"/>
      <x:c r="J247" s="50"/>
      <x:c r="K247" s="50"/>
      <x:c r="L247" s="50"/>
      <x:c r="M247" s="50"/>
      <x:c r="N247" s="50"/>
      <x:c r="O247" s="50"/>
    </x:row>
    <x:row r="248">
      <x:c r="A248" s="50"/>
      <x:c r="B248" s="50"/>
      <x:c r="C248" s="50"/>
      <x:c r="D248" s="50"/>
      <x:c r="E248" s="66" t="n">
        <x:f>SUMIF(Sales!$C:$C,B248,Sales!$I:$I)</x:f>
        <x:v>0</x:v>
      </x:c>
      <x:c r="F248" s="66"/>
      <x:c r="G248" s="66" t="n">
        <x:f>E248-F248</x:f>
        <x:v>0</x:v>
      </x:c>
      <x:c r="H248" s="64" t="n">
        <x:f>IFERROR(MAXIFS(Sales!$B:$B,Sales!$C:$C,B248),"")</x:f>
        <x:v>0</x:v>
      </x:c>
      <x:c r="I248" s="50"/>
      <x:c r="J248" s="50"/>
      <x:c r="K248" s="50"/>
      <x:c r="L248" s="50"/>
      <x:c r="M248" s="50"/>
      <x:c r="N248" s="50"/>
      <x:c r="O248" s="50"/>
    </x:row>
    <x:row r="249">
      <x:c r="A249" s="50"/>
      <x:c r="B249" s="50"/>
      <x:c r="C249" s="50"/>
      <x:c r="D249" s="50"/>
      <x:c r="E249" s="66" t="n">
        <x:f>SUMIF(Sales!$C:$C,B249,Sales!$I:$I)</x:f>
        <x:v>0</x:v>
      </x:c>
      <x:c r="F249" s="66"/>
      <x:c r="G249" s="66" t="n">
        <x:f>E249-F249</x:f>
        <x:v>0</x:v>
      </x:c>
      <x:c r="H249" s="64" t="n">
        <x:f>IFERROR(MAXIFS(Sales!$B:$B,Sales!$C:$C,B249),"")</x:f>
        <x:v>0</x:v>
      </x:c>
      <x:c r="I249" s="50"/>
      <x:c r="J249" s="50"/>
      <x:c r="K249" s="50"/>
      <x:c r="L249" s="50"/>
      <x:c r="M249" s="50"/>
      <x:c r="N249" s="50"/>
      <x:c r="O249" s="50"/>
    </x:row>
    <x:row r="250">
      <x:c r="A250" s="50"/>
      <x:c r="B250" s="50"/>
      <x:c r="C250" s="50"/>
      <x:c r="D250" s="50"/>
      <x:c r="E250" s="66" t="n">
        <x:f>SUMIF(Sales!$C:$C,B250,Sales!$I:$I)</x:f>
        <x:v>0</x:v>
      </x:c>
      <x:c r="F250" s="66"/>
      <x:c r="G250" s="66" t="n">
        <x:f>E250-F250</x:f>
        <x:v>0</x:v>
      </x:c>
      <x:c r="H250" s="64" t="n">
        <x:f>IFERROR(MAXIFS(Sales!$B:$B,Sales!$C:$C,B250),"")</x:f>
        <x:v>0</x:v>
      </x:c>
      <x:c r="I250" s="50"/>
      <x:c r="J250" s="50"/>
      <x:c r="K250" s="50"/>
      <x:c r="L250" s="50"/>
      <x:c r="M250" s="50"/>
      <x:c r="N250" s="50"/>
      <x:c r="O250" s="50"/>
    </x:row>
    <x:row r="251">
      <x:c r="A251" s="50"/>
      <x:c r="B251" s="50"/>
      <x:c r="C251" s="50"/>
      <x:c r="D251" s="50"/>
      <x:c r="E251" s="66" t="n">
        <x:f>SUMIF(Sales!$C:$C,B251,Sales!$I:$I)</x:f>
        <x:v>0</x:v>
      </x:c>
      <x:c r="F251" s="66"/>
      <x:c r="G251" s="66" t="n">
        <x:f>E251-F251</x:f>
        <x:v>0</x:v>
      </x:c>
      <x:c r="H251" s="64" t="n">
        <x:f>IFERROR(MAXIFS(Sales!$B:$B,Sales!$C:$C,B251),"")</x:f>
        <x:v>0</x:v>
      </x:c>
      <x:c r="I251" s="50"/>
      <x:c r="J251" s="50"/>
      <x:c r="K251" s="50"/>
      <x:c r="L251" s="50"/>
      <x:c r="M251" s="50"/>
      <x:c r="N251" s="50"/>
      <x:c r="O251" s="50"/>
    </x:row>
    <x:row r="252">
      <x:c r="A252" s="50"/>
      <x:c r="B252" s="50"/>
      <x:c r="C252" s="50"/>
      <x:c r="D252" s="50"/>
      <x:c r="E252" s="66" t="n">
        <x:f>SUMIF(Sales!$C:$C,B252,Sales!$I:$I)</x:f>
        <x:v>0</x:v>
      </x:c>
      <x:c r="F252" s="66"/>
      <x:c r="G252" s="66" t="n">
        <x:f>E252-F252</x:f>
        <x:v>0</x:v>
      </x:c>
      <x:c r="H252" s="64" t="n">
        <x:f>IFERROR(MAXIFS(Sales!$B:$B,Sales!$C:$C,B252),"")</x:f>
        <x:v>0</x:v>
      </x:c>
      <x:c r="I252" s="50"/>
      <x:c r="J252" s="50"/>
      <x:c r="K252" s="50"/>
      <x:c r="L252" s="50"/>
      <x:c r="M252" s="50"/>
      <x:c r="N252" s="50"/>
      <x:c r="O252" s="50"/>
    </x:row>
    <x:row r="253">
      <x:c r="A253" s="50"/>
      <x:c r="B253" s="50"/>
      <x:c r="C253" s="50"/>
      <x:c r="D253" s="50"/>
      <x:c r="E253" s="66" t="n">
        <x:f>SUMIF(Sales!$C:$C,B253,Sales!$I:$I)</x:f>
        <x:v>0</x:v>
      </x:c>
      <x:c r="F253" s="66"/>
      <x:c r="G253" s="66" t="n">
        <x:f>E253-F253</x:f>
        <x:v>0</x:v>
      </x:c>
      <x:c r="H253" s="64" t="n">
        <x:f>IFERROR(MAXIFS(Sales!$B:$B,Sales!$C:$C,B253),"")</x:f>
        <x:v>0</x:v>
      </x:c>
      <x:c r="I253" s="50"/>
      <x:c r="J253" s="50"/>
      <x:c r="K253" s="50"/>
      <x:c r="L253" s="50"/>
      <x:c r="M253" s="50"/>
      <x:c r="N253" s="50"/>
      <x:c r="O253" s="50"/>
    </x:row>
    <x:row r="254">
      <x:c r="A254" s="50"/>
      <x:c r="B254" s="50"/>
      <x:c r="C254" s="50"/>
      <x:c r="D254" s="50"/>
      <x:c r="E254" s="66" t="n">
        <x:f>SUMIF(Sales!$C:$C,B254,Sales!$I:$I)</x:f>
        <x:v>0</x:v>
      </x:c>
      <x:c r="F254" s="66"/>
      <x:c r="G254" s="66" t="n">
        <x:f>E254-F254</x:f>
        <x:v>0</x:v>
      </x:c>
      <x:c r="H254" s="64" t="n">
        <x:f>IFERROR(MAXIFS(Sales!$B:$B,Sales!$C:$C,B254),"")</x:f>
        <x:v>0</x:v>
      </x:c>
      <x:c r="I254" s="50"/>
      <x:c r="J254" s="50"/>
      <x:c r="K254" s="50"/>
      <x:c r="L254" s="50"/>
      <x:c r="M254" s="50"/>
      <x:c r="N254" s="50"/>
      <x:c r="O254" s="50"/>
    </x:row>
    <x:row r="255">
      <x:c r="A255" s="50"/>
      <x:c r="B255" s="50"/>
      <x:c r="C255" s="50"/>
      <x:c r="D255" s="50"/>
      <x:c r="E255" s="66" t="n">
        <x:f>SUMIF(Sales!$C:$C,B255,Sales!$I:$I)</x:f>
        <x:v>0</x:v>
      </x:c>
      <x:c r="F255" s="66"/>
      <x:c r="G255" s="66" t="n">
        <x:f>E255-F255</x:f>
        <x:v>0</x:v>
      </x:c>
      <x:c r="H255" s="64" t="n">
        <x:f>IFERROR(MAXIFS(Sales!$B:$B,Sales!$C:$C,B255),"")</x:f>
        <x:v>0</x:v>
      </x:c>
      <x:c r="I255" s="50"/>
      <x:c r="J255" s="50"/>
      <x:c r="K255" s="50"/>
      <x:c r="L255" s="50"/>
      <x:c r="M255" s="50"/>
      <x:c r="N255" s="50"/>
      <x:c r="O255" s="50"/>
    </x:row>
    <x:row r="256">
      <x:c r="A256" s="50"/>
      <x:c r="B256" s="50"/>
      <x:c r="C256" s="50"/>
      <x:c r="D256" s="50"/>
      <x:c r="E256" s="66" t="n">
        <x:f>SUMIF(Sales!$C:$C,B256,Sales!$I:$I)</x:f>
        <x:v>0</x:v>
      </x:c>
      <x:c r="F256" s="66"/>
      <x:c r="G256" s="66" t="n">
        <x:f>E256-F256</x:f>
        <x:v>0</x:v>
      </x:c>
      <x:c r="H256" s="64" t="n">
        <x:f>IFERROR(MAXIFS(Sales!$B:$B,Sales!$C:$C,B256),"")</x:f>
        <x:v>0</x:v>
      </x:c>
      <x:c r="I256" s="50"/>
      <x:c r="J256" s="50"/>
      <x:c r="K256" s="50"/>
      <x:c r="L256" s="50"/>
      <x:c r="M256" s="50"/>
      <x:c r="N256" s="50"/>
      <x:c r="O256" s="50"/>
    </x:row>
    <x:row r="257">
      <x:c r="A257" s="50"/>
      <x:c r="B257" s="50"/>
      <x:c r="C257" s="50"/>
      <x:c r="D257" s="50"/>
      <x:c r="E257" s="66" t="n">
        <x:f>SUMIF(Sales!$C:$C,B257,Sales!$I:$I)</x:f>
        <x:v>0</x:v>
      </x:c>
      <x:c r="F257" s="66"/>
      <x:c r="G257" s="66" t="n">
        <x:f>E257-F257</x:f>
        <x:v>0</x:v>
      </x:c>
      <x:c r="H257" s="64" t="n">
        <x:f>IFERROR(MAXIFS(Sales!$B:$B,Sales!$C:$C,B257),"")</x:f>
        <x:v>0</x:v>
      </x:c>
      <x:c r="I257" s="50"/>
      <x:c r="J257" s="50"/>
      <x:c r="K257" s="50"/>
      <x:c r="L257" s="50"/>
      <x:c r="M257" s="50"/>
      <x:c r="N257" s="50"/>
      <x:c r="O257" s="50"/>
    </x:row>
    <x:row r="258">
      <x:c r="A258" s="50"/>
      <x:c r="B258" s="50"/>
      <x:c r="C258" s="50"/>
      <x:c r="D258" s="50"/>
      <x:c r="E258" s="66" t="n">
        <x:f>SUMIF(Sales!$C:$C,B258,Sales!$I:$I)</x:f>
        <x:v>0</x:v>
      </x:c>
      <x:c r="F258" s="66"/>
      <x:c r="G258" s="66" t="n">
        <x:f>E258-F258</x:f>
        <x:v>0</x:v>
      </x:c>
      <x:c r="H258" s="64" t="n">
        <x:f>IFERROR(MAXIFS(Sales!$B:$B,Sales!$C:$C,B258),"")</x:f>
        <x:v>0</x:v>
      </x:c>
      <x:c r="I258" s="50"/>
      <x:c r="J258" s="50"/>
      <x:c r="K258" s="50"/>
      <x:c r="L258" s="50"/>
      <x:c r="M258" s="50"/>
      <x:c r="N258" s="50"/>
      <x:c r="O258" s="50"/>
    </x:row>
    <x:row r="259">
      <x:c r="A259" s="50"/>
      <x:c r="B259" s="50"/>
      <x:c r="C259" s="50"/>
      <x:c r="D259" s="50"/>
      <x:c r="E259" s="66" t="n">
        <x:f>SUMIF(Sales!$C:$C,B259,Sales!$I:$I)</x:f>
        <x:v>0</x:v>
      </x:c>
      <x:c r="F259" s="66"/>
      <x:c r="G259" s="66" t="n">
        <x:f>E259-F259</x:f>
        <x:v>0</x:v>
      </x:c>
      <x:c r="H259" s="64" t="n">
        <x:f>IFERROR(MAXIFS(Sales!$B:$B,Sales!$C:$C,B259),"")</x:f>
        <x:v>0</x:v>
      </x:c>
      <x:c r="I259" s="50"/>
      <x:c r="J259" s="50"/>
      <x:c r="K259" s="50"/>
      <x:c r="L259" s="50"/>
      <x:c r="M259" s="50"/>
      <x:c r="N259" s="50"/>
      <x:c r="O259" s="50"/>
    </x:row>
    <x:row r="260">
      <x:c r="A260" s="50"/>
      <x:c r="B260" s="50"/>
      <x:c r="C260" s="50"/>
      <x:c r="D260" s="50"/>
      <x:c r="E260" s="66" t="n">
        <x:f>SUMIF(Sales!$C:$C,B260,Sales!$I:$I)</x:f>
        <x:v>0</x:v>
      </x:c>
      <x:c r="F260" s="66"/>
      <x:c r="G260" s="66" t="n">
        <x:f>E260-F260</x:f>
        <x:v>0</x:v>
      </x:c>
      <x:c r="H260" s="64" t="n">
        <x:f>IFERROR(MAXIFS(Sales!$B:$B,Sales!$C:$C,B260),"")</x:f>
        <x:v>0</x:v>
      </x:c>
      <x:c r="I260" s="50"/>
      <x:c r="J260" s="50"/>
      <x:c r="K260" s="50"/>
      <x:c r="L260" s="50"/>
      <x:c r="M260" s="50"/>
      <x:c r="N260" s="50"/>
      <x:c r="O260" s="50"/>
    </x:row>
    <x:row r="261">
      <x:c r="A261" s="50"/>
      <x:c r="B261" s="50"/>
      <x:c r="C261" s="50"/>
      <x:c r="D261" s="50"/>
      <x:c r="E261" s="66" t="n">
        <x:f>SUMIF(Sales!$C:$C,B261,Sales!$I:$I)</x:f>
        <x:v>0</x:v>
      </x:c>
      <x:c r="F261" s="66"/>
      <x:c r="G261" s="66" t="n">
        <x:f>E261-F261</x:f>
        <x:v>0</x:v>
      </x:c>
      <x:c r="H261" s="64" t="n">
        <x:f>IFERROR(MAXIFS(Sales!$B:$B,Sales!$C:$C,B261),"")</x:f>
        <x:v>0</x:v>
      </x:c>
      <x:c r="I261" s="50"/>
      <x:c r="J261" s="50"/>
      <x:c r="K261" s="50"/>
      <x:c r="L261" s="50"/>
      <x:c r="M261" s="50"/>
      <x:c r="N261" s="50"/>
      <x:c r="O261" s="50"/>
    </x:row>
    <x:row r="262">
      <x:c r="A262" s="50"/>
      <x:c r="B262" s="50"/>
      <x:c r="C262" s="50"/>
      <x:c r="D262" s="50"/>
      <x:c r="E262" s="66" t="n">
        <x:f>SUMIF(Sales!$C:$C,B262,Sales!$I:$I)</x:f>
        <x:v>0</x:v>
      </x:c>
      <x:c r="F262" s="66"/>
      <x:c r="G262" s="66" t="n">
        <x:f>E262-F262</x:f>
        <x:v>0</x:v>
      </x:c>
      <x:c r="H262" s="64" t="n">
        <x:f>IFERROR(MAXIFS(Sales!$B:$B,Sales!$C:$C,B262),"")</x:f>
        <x:v>0</x:v>
      </x:c>
      <x:c r="I262" s="50"/>
      <x:c r="J262" s="50"/>
      <x:c r="K262" s="50"/>
      <x:c r="L262" s="50"/>
      <x:c r="M262" s="50"/>
      <x:c r="N262" s="50"/>
      <x:c r="O262" s="50"/>
    </x:row>
    <x:row r="263">
      <x:c r="A263" s="50"/>
      <x:c r="B263" s="50"/>
      <x:c r="C263" s="50"/>
      <x:c r="D263" s="50"/>
      <x:c r="E263" s="66" t="n">
        <x:f>SUMIF(Sales!$C:$C,B263,Sales!$I:$I)</x:f>
        <x:v>0</x:v>
      </x:c>
      <x:c r="F263" s="66"/>
      <x:c r="G263" s="66" t="n">
        <x:f>E263-F263</x:f>
        <x:v>0</x:v>
      </x:c>
      <x:c r="H263" s="64" t="n">
        <x:f>IFERROR(MAXIFS(Sales!$B:$B,Sales!$C:$C,B263),"")</x:f>
        <x:v>0</x:v>
      </x:c>
      <x:c r="I263" s="50"/>
      <x:c r="J263" s="50"/>
      <x:c r="K263" s="50"/>
      <x:c r="L263" s="50"/>
      <x:c r="M263" s="50"/>
      <x:c r="N263" s="50"/>
      <x:c r="O263" s="50"/>
    </x:row>
    <x:row r="264">
      <x:c r="A264" s="50"/>
      <x:c r="B264" s="50"/>
      <x:c r="C264" s="50"/>
      <x:c r="D264" s="50"/>
      <x:c r="E264" s="66" t="n">
        <x:f>SUMIF(Sales!$C:$C,B264,Sales!$I:$I)</x:f>
        <x:v>0</x:v>
      </x:c>
      <x:c r="F264" s="66"/>
      <x:c r="G264" s="66" t="n">
        <x:f>E264-F264</x:f>
        <x:v>0</x:v>
      </x:c>
      <x:c r="H264" s="64" t="n">
        <x:f>IFERROR(MAXIFS(Sales!$B:$B,Sales!$C:$C,B264),"")</x:f>
        <x:v>0</x:v>
      </x:c>
      <x:c r="I264" s="50"/>
      <x:c r="J264" s="50"/>
      <x:c r="K264" s="50"/>
      <x:c r="L264" s="50"/>
      <x:c r="M264" s="50"/>
      <x:c r="N264" s="50"/>
      <x:c r="O264" s="50"/>
    </x:row>
    <x:row r="265">
      <x:c r="A265" s="50"/>
      <x:c r="B265" s="50"/>
      <x:c r="C265" s="50"/>
      <x:c r="D265" s="50"/>
      <x:c r="E265" s="66" t="n">
        <x:f>SUMIF(Sales!$C:$C,B265,Sales!$I:$I)</x:f>
        <x:v>0</x:v>
      </x:c>
      <x:c r="F265" s="66"/>
      <x:c r="G265" s="66" t="n">
        <x:f>E265-F265</x:f>
        <x:v>0</x:v>
      </x:c>
      <x:c r="H265" s="64" t="n">
        <x:f>IFERROR(MAXIFS(Sales!$B:$B,Sales!$C:$C,B265),"")</x:f>
        <x:v>0</x:v>
      </x:c>
      <x:c r="I265" s="50"/>
      <x:c r="J265" s="50"/>
      <x:c r="K265" s="50"/>
      <x:c r="L265" s="50"/>
      <x:c r="M265" s="50"/>
      <x:c r="N265" s="50"/>
      <x:c r="O265" s="50"/>
    </x:row>
    <x:row r="266">
      <x:c r="A266" s="50"/>
      <x:c r="B266" s="50"/>
      <x:c r="C266" s="50"/>
      <x:c r="D266" s="50"/>
      <x:c r="E266" s="66" t="n">
        <x:f>SUMIF(Sales!$C:$C,B266,Sales!$I:$I)</x:f>
        <x:v>0</x:v>
      </x:c>
      <x:c r="F266" s="66"/>
      <x:c r="G266" s="66" t="n">
        <x:f>E266-F266</x:f>
        <x:v>0</x:v>
      </x:c>
      <x:c r="H266" s="64" t="n">
        <x:f>IFERROR(MAXIFS(Sales!$B:$B,Sales!$C:$C,B266),"")</x:f>
        <x:v>0</x:v>
      </x:c>
      <x:c r="I266" s="50"/>
      <x:c r="J266" s="50"/>
      <x:c r="K266" s="50"/>
      <x:c r="L266" s="50"/>
      <x:c r="M266" s="50"/>
      <x:c r="N266" s="50"/>
      <x:c r="O266" s="50"/>
    </x:row>
    <x:row r="267">
      <x:c r="A267" s="50"/>
      <x:c r="B267" s="50"/>
      <x:c r="C267" s="50"/>
      <x:c r="D267" s="50"/>
      <x:c r="E267" s="66" t="n">
        <x:f>SUMIF(Sales!$C:$C,B267,Sales!$I:$I)</x:f>
        <x:v>0</x:v>
      </x:c>
      <x:c r="F267" s="66"/>
      <x:c r="G267" s="66" t="n">
        <x:f>E267-F267</x:f>
        <x:v>0</x:v>
      </x:c>
      <x:c r="H267" s="64" t="n">
        <x:f>IFERROR(MAXIFS(Sales!$B:$B,Sales!$C:$C,B267),"")</x:f>
        <x:v>0</x:v>
      </x:c>
      <x:c r="I267" s="50"/>
      <x:c r="J267" s="50"/>
      <x:c r="K267" s="50"/>
      <x:c r="L267" s="50"/>
      <x:c r="M267" s="50"/>
      <x:c r="N267" s="50"/>
      <x:c r="O267" s="50"/>
    </x:row>
    <x:row r="268">
      <x:c r="A268" s="50"/>
      <x:c r="B268" s="50"/>
      <x:c r="C268" s="50"/>
      <x:c r="D268" s="50"/>
      <x:c r="E268" s="66" t="n">
        <x:f>SUMIF(Sales!$C:$C,B268,Sales!$I:$I)</x:f>
        <x:v>0</x:v>
      </x:c>
      <x:c r="F268" s="66"/>
      <x:c r="G268" s="66" t="n">
        <x:f>E268-F268</x:f>
        <x:v>0</x:v>
      </x:c>
      <x:c r="H268" s="64" t="n">
        <x:f>IFERROR(MAXIFS(Sales!$B:$B,Sales!$C:$C,B268),"")</x:f>
        <x:v>0</x:v>
      </x:c>
      <x:c r="I268" s="50"/>
      <x:c r="J268" s="50"/>
      <x:c r="K268" s="50"/>
      <x:c r="L268" s="50"/>
      <x:c r="M268" s="50"/>
      <x:c r="N268" s="50"/>
      <x:c r="O268" s="50"/>
    </x:row>
    <x:row r="269">
      <x:c r="A269" s="50"/>
      <x:c r="B269" s="50"/>
      <x:c r="C269" s="50"/>
      <x:c r="D269" s="50"/>
      <x:c r="E269" s="66" t="n">
        <x:f>SUMIF(Sales!$C:$C,B269,Sales!$I:$I)</x:f>
        <x:v>0</x:v>
      </x:c>
      <x:c r="F269" s="66"/>
      <x:c r="G269" s="66" t="n">
        <x:f>E269-F269</x:f>
        <x:v>0</x:v>
      </x:c>
      <x:c r="H269" s="64" t="n">
        <x:f>IFERROR(MAXIFS(Sales!$B:$B,Sales!$C:$C,B269),"")</x:f>
        <x:v>0</x:v>
      </x:c>
      <x:c r="I269" s="50"/>
      <x:c r="J269" s="50"/>
      <x:c r="K269" s="50"/>
      <x:c r="L269" s="50"/>
      <x:c r="M269" s="50"/>
      <x:c r="N269" s="50"/>
      <x:c r="O269" s="50"/>
    </x:row>
    <x:row r="270">
      <x:c r="A270" s="50"/>
      <x:c r="B270" s="50"/>
      <x:c r="C270" s="50"/>
      <x:c r="D270" s="50"/>
      <x:c r="E270" s="66" t="n">
        <x:f>SUMIF(Sales!$C:$C,B270,Sales!$I:$I)</x:f>
        <x:v>0</x:v>
      </x:c>
      <x:c r="F270" s="66"/>
      <x:c r="G270" s="66" t="n">
        <x:f>E270-F270</x:f>
        <x:v>0</x:v>
      </x:c>
      <x:c r="H270" s="64" t="n">
        <x:f>IFERROR(MAXIFS(Sales!$B:$B,Sales!$C:$C,B270),"")</x:f>
        <x:v>0</x:v>
      </x:c>
      <x:c r="I270" s="50"/>
      <x:c r="J270" s="50"/>
      <x:c r="K270" s="50"/>
      <x:c r="L270" s="50"/>
      <x:c r="M270" s="50"/>
      <x:c r="N270" s="50"/>
      <x:c r="O270" s="50"/>
    </x:row>
    <x:row r="271">
      <x:c r="A271" s="50"/>
      <x:c r="B271" s="50"/>
      <x:c r="C271" s="50"/>
      <x:c r="D271" s="50"/>
      <x:c r="E271" s="66" t="n">
        <x:f>SUMIF(Sales!$C:$C,B271,Sales!$I:$I)</x:f>
        <x:v>0</x:v>
      </x:c>
      <x:c r="F271" s="66"/>
      <x:c r="G271" s="66" t="n">
        <x:f>E271-F271</x:f>
        <x:v>0</x:v>
      </x:c>
      <x:c r="H271" s="64" t="n">
        <x:f>IFERROR(MAXIFS(Sales!$B:$B,Sales!$C:$C,B271),"")</x:f>
        <x:v>0</x:v>
      </x:c>
      <x:c r="I271" s="50"/>
      <x:c r="J271" s="50"/>
      <x:c r="K271" s="50"/>
      <x:c r="L271" s="50"/>
      <x:c r="M271" s="50"/>
      <x:c r="N271" s="50"/>
      <x:c r="O271" s="50"/>
    </x:row>
    <x:row r="272">
      <x:c r="A272" s="50"/>
      <x:c r="B272" s="50"/>
      <x:c r="C272" s="50"/>
      <x:c r="D272" s="50"/>
      <x:c r="E272" s="66" t="n">
        <x:f>SUMIF(Sales!$C:$C,B272,Sales!$I:$I)</x:f>
        <x:v>0</x:v>
      </x:c>
      <x:c r="F272" s="66"/>
      <x:c r="G272" s="66" t="n">
        <x:f>E272-F272</x:f>
        <x:v>0</x:v>
      </x:c>
      <x:c r="H272" s="64" t="n">
        <x:f>IFERROR(MAXIFS(Sales!$B:$B,Sales!$C:$C,B272),"")</x:f>
        <x:v>0</x:v>
      </x:c>
      <x:c r="I272" s="50"/>
      <x:c r="J272" s="50"/>
      <x:c r="K272" s="50"/>
      <x:c r="L272" s="50"/>
      <x:c r="M272" s="50"/>
      <x:c r="N272" s="50"/>
      <x:c r="O272" s="50"/>
    </x:row>
    <x:row r="273">
      <x:c r="A273" s="50"/>
      <x:c r="B273" s="50"/>
      <x:c r="C273" s="50"/>
      <x:c r="D273" s="50"/>
      <x:c r="E273" s="66" t="n">
        <x:f>SUMIF(Sales!$C:$C,B273,Sales!$I:$I)</x:f>
        <x:v>0</x:v>
      </x:c>
      <x:c r="F273" s="66"/>
      <x:c r="G273" s="66" t="n">
        <x:f>E273-F273</x:f>
        <x:v>0</x:v>
      </x:c>
      <x:c r="H273" s="64" t="n">
        <x:f>IFERROR(MAXIFS(Sales!$B:$B,Sales!$C:$C,B273),"")</x:f>
        <x:v>0</x:v>
      </x:c>
      <x:c r="I273" s="50"/>
      <x:c r="J273" s="50"/>
      <x:c r="K273" s="50"/>
      <x:c r="L273" s="50"/>
      <x:c r="M273" s="50"/>
      <x:c r="N273" s="50"/>
      <x:c r="O273" s="50"/>
    </x:row>
    <x:row r="274">
      <x:c r="A274" s="50"/>
      <x:c r="B274" s="50"/>
      <x:c r="C274" s="50"/>
      <x:c r="D274" s="50"/>
      <x:c r="E274" s="66" t="n">
        <x:f>SUMIF(Sales!$C:$C,B274,Sales!$I:$I)</x:f>
        <x:v>0</x:v>
      </x:c>
      <x:c r="F274" s="66"/>
      <x:c r="G274" s="66" t="n">
        <x:f>E274-F274</x:f>
        <x:v>0</x:v>
      </x:c>
      <x:c r="H274" s="64" t="n">
        <x:f>IFERROR(MAXIFS(Sales!$B:$B,Sales!$C:$C,B274),"")</x:f>
        <x:v>0</x:v>
      </x:c>
      <x:c r="I274" s="50"/>
      <x:c r="J274" s="50"/>
      <x:c r="K274" s="50"/>
      <x:c r="L274" s="50"/>
      <x:c r="M274" s="50"/>
      <x:c r="N274" s="50"/>
      <x:c r="O274" s="50"/>
    </x:row>
    <x:row r="275">
      <x:c r="A275" s="50"/>
      <x:c r="B275" s="50"/>
      <x:c r="C275" s="50"/>
      <x:c r="D275" s="50"/>
      <x:c r="E275" s="66" t="n">
        <x:f>SUMIF(Sales!$C:$C,B275,Sales!$I:$I)</x:f>
        <x:v>0</x:v>
      </x:c>
      <x:c r="F275" s="66"/>
      <x:c r="G275" s="66" t="n">
        <x:f>E275-F275</x:f>
        <x:v>0</x:v>
      </x:c>
      <x:c r="H275" s="64" t="n">
        <x:f>IFERROR(MAXIFS(Sales!$B:$B,Sales!$C:$C,B275),"")</x:f>
        <x:v>0</x:v>
      </x:c>
      <x:c r="I275" s="50"/>
      <x:c r="J275" s="50"/>
      <x:c r="K275" s="50"/>
      <x:c r="L275" s="50"/>
      <x:c r="M275" s="50"/>
      <x:c r="N275" s="50"/>
      <x:c r="O275" s="50"/>
    </x:row>
    <x:row r="276">
      <x:c r="A276" s="50"/>
      <x:c r="B276" s="50"/>
      <x:c r="C276" s="50"/>
      <x:c r="D276" s="50"/>
      <x:c r="E276" s="66" t="n">
        <x:f>SUMIF(Sales!$C:$C,B276,Sales!$I:$I)</x:f>
        <x:v>0</x:v>
      </x:c>
      <x:c r="F276" s="66"/>
      <x:c r="G276" s="66" t="n">
        <x:f>E276-F276</x:f>
        <x:v>0</x:v>
      </x:c>
      <x:c r="H276" s="64" t="n">
        <x:f>IFERROR(MAXIFS(Sales!$B:$B,Sales!$C:$C,B276),"")</x:f>
        <x:v>0</x:v>
      </x:c>
      <x:c r="I276" s="50"/>
      <x:c r="J276" s="50"/>
      <x:c r="K276" s="50"/>
      <x:c r="L276" s="50"/>
      <x:c r="M276" s="50"/>
      <x:c r="N276" s="50"/>
      <x:c r="O276" s="50"/>
    </x:row>
    <x:row r="277">
      <x:c r="A277" s="50"/>
      <x:c r="B277" s="50"/>
      <x:c r="C277" s="50"/>
      <x:c r="D277" s="50"/>
      <x:c r="E277" s="66" t="n">
        <x:f>SUMIF(Sales!$C:$C,B277,Sales!$I:$I)</x:f>
        <x:v>0</x:v>
      </x:c>
      <x:c r="F277" s="66"/>
      <x:c r="G277" s="66" t="n">
        <x:f>E277-F277</x:f>
        <x:v>0</x:v>
      </x:c>
      <x:c r="H277" s="64" t="n">
        <x:f>IFERROR(MAXIFS(Sales!$B:$B,Sales!$C:$C,B277),"")</x:f>
        <x:v>0</x:v>
      </x:c>
      <x:c r="I277" s="50"/>
      <x:c r="J277" s="50"/>
      <x:c r="K277" s="50"/>
      <x:c r="L277" s="50"/>
      <x:c r="M277" s="50"/>
      <x:c r="N277" s="50"/>
      <x:c r="O277" s="50"/>
    </x:row>
    <x:row r="278">
      <x:c r="A278" s="50"/>
      <x:c r="B278" s="50"/>
      <x:c r="C278" s="50"/>
      <x:c r="D278" s="50"/>
      <x:c r="E278" s="66" t="n">
        <x:f>SUMIF(Sales!$C:$C,B278,Sales!$I:$I)</x:f>
        <x:v>0</x:v>
      </x:c>
      <x:c r="F278" s="66"/>
      <x:c r="G278" s="66" t="n">
        <x:f>E278-F278</x:f>
        <x:v>0</x:v>
      </x:c>
      <x:c r="H278" s="64" t="n">
        <x:f>IFERROR(MAXIFS(Sales!$B:$B,Sales!$C:$C,B278),"")</x:f>
        <x:v>0</x:v>
      </x:c>
      <x:c r="I278" s="50"/>
      <x:c r="J278" s="50"/>
      <x:c r="K278" s="50"/>
      <x:c r="L278" s="50"/>
      <x:c r="M278" s="50"/>
      <x:c r="N278" s="50"/>
      <x:c r="O278" s="50"/>
    </x:row>
    <x:row r="279">
      <x:c r="A279" s="50"/>
      <x:c r="B279" s="50"/>
      <x:c r="C279" s="50"/>
      <x:c r="D279" s="50"/>
      <x:c r="E279" s="66" t="n">
        <x:f>SUMIF(Sales!$C:$C,B279,Sales!$I:$I)</x:f>
        <x:v>0</x:v>
      </x:c>
      <x:c r="F279" s="66"/>
      <x:c r="G279" s="66" t="n">
        <x:f>E279-F279</x:f>
        <x:v>0</x:v>
      </x:c>
      <x:c r="H279" s="64" t="n">
        <x:f>IFERROR(MAXIFS(Sales!$B:$B,Sales!$C:$C,B279),"")</x:f>
        <x:v>0</x:v>
      </x:c>
      <x:c r="I279" s="50"/>
      <x:c r="J279" s="50"/>
      <x:c r="K279" s="50"/>
      <x:c r="L279" s="50"/>
      <x:c r="M279" s="50"/>
      <x:c r="N279" s="50"/>
      <x:c r="O279" s="50"/>
    </x:row>
    <x:row r="280">
      <x:c r="A280" s="50"/>
      <x:c r="B280" s="50"/>
      <x:c r="C280" s="50"/>
      <x:c r="D280" s="50"/>
      <x:c r="E280" s="66" t="n">
        <x:f>SUMIF(Sales!$C:$C,B280,Sales!$I:$I)</x:f>
        <x:v>0</x:v>
      </x:c>
      <x:c r="F280" s="66"/>
      <x:c r="G280" s="66" t="n">
        <x:f>E280-F280</x:f>
        <x:v>0</x:v>
      </x:c>
      <x:c r="H280" s="64" t="n">
        <x:f>IFERROR(MAXIFS(Sales!$B:$B,Sales!$C:$C,B280),"")</x:f>
        <x:v>0</x:v>
      </x:c>
      <x:c r="I280" s="50"/>
      <x:c r="J280" s="50"/>
      <x:c r="K280" s="50"/>
      <x:c r="L280" s="50"/>
      <x:c r="M280" s="50"/>
      <x:c r="N280" s="50"/>
      <x:c r="O280" s="50"/>
    </x:row>
    <x:row r="281">
      <x:c r="A281" s="50"/>
      <x:c r="B281" s="50"/>
      <x:c r="C281" s="50"/>
      <x:c r="D281" s="50"/>
      <x:c r="E281" s="66" t="n">
        <x:f>SUMIF(Sales!$C:$C,B281,Sales!$I:$I)</x:f>
        <x:v>0</x:v>
      </x:c>
      <x:c r="F281" s="66"/>
      <x:c r="G281" s="66" t="n">
        <x:f>E281-F281</x:f>
        <x:v>0</x:v>
      </x:c>
      <x:c r="H281" s="64" t="n">
        <x:f>IFERROR(MAXIFS(Sales!$B:$B,Sales!$C:$C,B281),"")</x:f>
        <x:v>0</x:v>
      </x:c>
      <x:c r="I281" s="50"/>
      <x:c r="J281" s="50"/>
      <x:c r="K281" s="50"/>
      <x:c r="L281" s="50"/>
      <x:c r="M281" s="50"/>
      <x:c r="N281" s="50"/>
      <x:c r="O281" s="50"/>
    </x:row>
    <x:row r="282">
      <x:c r="A282" s="50"/>
      <x:c r="B282" s="50"/>
      <x:c r="C282" s="50"/>
      <x:c r="D282" s="50"/>
      <x:c r="E282" s="66" t="n">
        <x:f>SUMIF(Sales!$C:$C,B282,Sales!$I:$I)</x:f>
        <x:v>0</x:v>
      </x:c>
      <x:c r="F282" s="66"/>
      <x:c r="G282" s="66" t="n">
        <x:f>E282-F282</x:f>
        <x:v>0</x:v>
      </x:c>
      <x:c r="H282" s="64" t="n">
        <x:f>IFERROR(MAXIFS(Sales!$B:$B,Sales!$C:$C,B282),"")</x:f>
        <x:v>0</x:v>
      </x:c>
      <x:c r="I282" s="50"/>
      <x:c r="J282" s="50"/>
      <x:c r="K282" s="50"/>
      <x:c r="L282" s="50"/>
      <x:c r="M282" s="50"/>
      <x:c r="N282" s="50"/>
      <x:c r="O282" s="50"/>
    </x:row>
    <x:row r="283">
      <x:c r="A283" s="50"/>
      <x:c r="B283" s="50"/>
      <x:c r="C283" s="50"/>
      <x:c r="D283" s="50"/>
      <x:c r="E283" s="66" t="n">
        <x:f>SUMIF(Sales!$C:$C,B283,Sales!$I:$I)</x:f>
        <x:v>0</x:v>
      </x:c>
      <x:c r="F283" s="66"/>
      <x:c r="G283" s="66" t="n">
        <x:f>E283-F283</x:f>
        <x:v>0</x:v>
      </x:c>
      <x:c r="H283" s="64" t="n">
        <x:f>IFERROR(MAXIFS(Sales!$B:$B,Sales!$C:$C,B283),"")</x:f>
        <x:v>0</x:v>
      </x:c>
      <x:c r="I283" s="50"/>
      <x:c r="J283" s="50"/>
      <x:c r="K283" s="50"/>
      <x:c r="L283" s="50"/>
      <x:c r="M283" s="50"/>
      <x:c r="N283" s="50"/>
      <x:c r="O283" s="50"/>
    </x:row>
    <x:row r="284">
      <x:c r="A284" s="50"/>
      <x:c r="B284" s="50"/>
      <x:c r="C284" s="50"/>
      <x:c r="D284" s="50"/>
      <x:c r="E284" s="66" t="n">
        <x:f>SUMIF(Sales!$C:$C,B284,Sales!$I:$I)</x:f>
        <x:v>0</x:v>
      </x:c>
      <x:c r="F284" s="66"/>
      <x:c r="G284" s="66" t="n">
        <x:f>E284-F284</x:f>
        <x:v>0</x:v>
      </x:c>
      <x:c r="H284" s="64" t="n">
        <x:f>IFERROR(MAXIFS(Sales!$B:$B,Sales!$C:$C,B284),"")</x:f>
        <x:v>0</x:v>
      </x:c>
      <x:c r="I284" s="50"/>
      <x:c r="J284" s="50"/>
      <x:c r="K284" s="50"/>
      <x:c r="L284" s="50"/>
      <x:c r="M284" s="50"/>
      <x:c r="N284" s="50"/>
      <x:c r="O284" s="50"/>
    </x:row>
    <x:row r="285">
      <x:c r="A285" s="50"/>
      <x:c r="B285" s="50"/>
      <x:c r="C285" s="50"/>
      <x:c r="D285" s="50"/>
      <x:c r="E285" s="66" t="n">
        <x:f>SUMIF(Sales!$C:$C,B285,Sales!$I:$I)</x:f>
        <x:v>0</x:v>
      </x:c>
      <x:c r="F285" s="66"/>
      <x:c r="G285" s="66" t="n">
        <x:f>E285-F285</x:f>
        <x:v>0</x:v>
      </x:c>
      <x:c r="H285" s="64" t="n">
        <x:f>IFERROR(MAXIFS(Sales!$B:$B,Sales!$C:$C,B285),"")</x:f>
        <x:v>0</x:v>
      </x:c>
      <x:c r="I285" s="50"/>
      <x:c r="J285" s="50"/>
      <x:c r="K285" s="50"/>
      <x:c r="L285" s="50"/>
      <x:c r="M285" s="50"/>
      <x:c r="N285" s="50"/>
      <x:c r="O285" s="50"/>
    </x:row>
    <x:row r="286">
      <x:c r="A286" s="50"/>
      <x:c r="B286" s="50"/>
      <x:c r="C286" s="50"/>
      <x:c r="D286" s="50"/>
      <x:c r="E286" s="66" t="n">
        <x:f>SUMIF(Sales!$C:$C,B286,Sales!$I:$I)</x:f>
        <x:v>0</x:v>
      </x:c>
      <x:c r="F286" s="66"/>
      <x:c r="G286" s="66" t="n">
        <x:f>E286-F286</x:f>
        <x:v>0</x:v>
      </x:c>
      <x:c r="H286" s="64" t="n">
        <x:f>IFERROR(MAXIFS(Sales!$B:$B,Sales!$C:$C,B286),"")</x:f>
        <x:v>0</x:v>
      </x:c>
      <x:c r="I286" s="50"/>
      <x:c r="J286" s="50"/>
      <x:c r="K286" s="50"/>
      <x:c r="L286" s="50"/>
      <x:c r="M286" s="50"/>
      <x:c r="N286" s="50"/>
      <x:c r="O286" s="50"/>
    </x:row>
    <x:row r="287">
      <x:c r="A287" s="50"/>
      <x:c r="B287" s="50"/>
      <x:c r="C287" s="50"/>
      <x:c r="D287" s="50"/>
      <x:c r="E287" s="66" t="n">
        <x:f>SUMIF(Sales!$C:$C,B287,Sales!$I:$I)</x:f>
        <x:v>0</x:v>
      </x:c>
      <x:c r="F287" s="66"/>
      <x:c r="G287" s="66" t="n">
        <x:f>E287-F287</x:f>
        <x:v>0</x:v>
      </x:c>
      <x:c r="H287" s="64" t="n">
        <x:f>IFERROR(MAXIFS(Sales!$B:$B,Sales!$C:$C,B287),"")</x:f>
        <x:v>0</x:v>
      </x:c>
      <x:c r="I287" s="50"/>
      <x:c r="J287" s="50"/>
      <x:c r="K287" s="50"/>
      <x:c r="L287" s="50"/>
      <x:c r="M287" s="50"/>
      <x:c r="N287" s="50"/>
      <x:c r="O287" s="50"/>
    </x:row>
    <x:row r="288">
      <x:c r="A288" s="50"/>
      <x:c r="B288" s="50"/>
      <x:c r="C288" s="50"/>
      <x:c r="D288" s="50"/>
      <x:c r="E288" s="66" t="n">
        <x:f>SUMIF(Sales!$C:$C,B288,Sales!$I:$I)</x:f>
        <x:v>0</x:v>
      </x:c>
      <x:c r="F288" s="66"/>
      <x:c r="G288" s="66" t="n">
        <x:f>E288-F288</x:f>
        <x:v>0</x:v>
      </x:c>
      <x:c r="H288" s="64" t="n">
        <x:f>IFERROR(MAXIFS(Sales!$B:$B,Sales!$C:$C,B288),"")</x:f>
        <x:v>0</x:v>
      </x:c>
      <x:c r="I288" s="50"/>
      <x:c r="J288" s="50"/>
      <x:c r="K288" s="50"/>
      <x:c r="L288" s="50"/>
      <x:c r="M288" s="50"/>
      <x:c r="N288" s="50"/>
      <x:c r="O288" s="50"/>
    </x:row>
    <x:row r="289">
      <x:c r="A289" s="50"/>
      <x:c r="B289" s="50"/>
      <x:c r="C289" s="50"/>
      <x:c r="D289" s="50"/>
      <x:c r="E289" s="66" t="n">
        <x:f>SUMIF(Sales!$C:$C,B289,Sales!$I:$I)</x:f>
        <x:v>0</x:v>
      </x:c>
      <x:c r="F289" s="66"/>
      <x:c r="G289" s="66" t="n">
        <x:f>E289-F289</x:f>
        <x:v>0</x:v>
      </x:c>
      <x:c r="H289" s="64" t="n">
        <x:f>IFERROR(MAXIFS(Sales!$B:$B,Sales!$C:$C,B289),"")</x:f>
        <x:v>0</x:v>
      </x:c>
      <x:c r="I289" s="50"/>
      <x:c r="J289" s="50"/>
      <x:c r="K289" s="50"/>
      <x:c r="L289" s="50"/>
      <x:c r="M289" s="50"/>
      <x:c r="N289" s="50"/>
      <x:c r="O289" s="50"/>
    </x:row>
    <x:row r="290">
      <x:c r="A290" s="50"/>
      <x:c r="B290" s="50"/>
      <x:c r="C290" s="50"/>
      <x:c r="D290" s="50"/>
      <x:c r="E290" s="66" t="n">
        <x:f>SUMIF(Sales!$C:$C,B290,Sales!$I:$I)</x:f>
        <x:v>0</x:v>
      </x:c>
      <x:c r="F290" s="66"/>
      <x:c r="G290" s="66" t="n">
        <x:f>E290-F290</x:f>
        <x:v>0</x:v>
      </x:c>
      <x:c r="H290" s="64" t="n">
        <x:f>IFERROR(MAXIFS(Sales!$B:$B,Sales!$C:$C,B290),"")</x:f>
        <x:v>0</x:v>
      </x:c>
      <x:c r="I290" s="50"/>
      <x:c r="J290" s="50"/>
      <x:c r="K290" s="50"/>
      <x:c r="L290" s="50"/>
      <x:c r="M290" s="50"/>
      <x:c r="N290" s="50"/>
      <x:c r="O290" s="50"/>
    </x:row>
    <x:row r="291">
      <x:c r="A291" s="50"/>
      <x:c r="B291" s="50"/>
      <x:c r="C291" s="50"/>
      <x:c r="D291" s="50"/>
      <x:c r="E291" s="66" t="n">
        <x:f>SUMIF(Sales!$C:$C,B291,Sales!$I:$I)</x:f>
        <x:v>0</x:v>
      </x:c>
      <x:c r="F291" s="66"/>
      <x:c r="G291" s="66" t="n">
        <x:f>E291-F291</x:f>
        <x:v>0</x:v>
      </x:c>
      <x:c r="H291" s="64" t="n">
        <x:f>IFERROR(MAXIFS(Sales!$B:$B,Sales!$C:$C,B291),"")</x:f>
        <x:v>0</x:v>
      </x:c>
      <x:c r="I291" s="50"/>
      <x:c r="J291" s="50"/>
      <x:c r="K291" s="50"/>
      <x:c r="L291" s="50"/>
      <x:c r="M291" s="50"/>
      <x:c r="N291" s="50"/>
      <x:c r="O291" s="50"/>
    </x:row>
    <x:row r="292">
      <x:c r="A292" s="50"/>
      <x:c r="B292" s="50"/>
      <x:c r="C292" s="50"/>
      <x:c r="D292" s="50"/>
      <x:c r="E292" s="66" t="n">
        <x:f>SUMIF(Sales!$C:$C,B292,Sales!$I:$I)</x:f>
        <x:v>0</x:v>
      </x:c>
      <x:c r="F292" s="66"/>
      <x:c r="G292" s="66" t="n">
        <x:f>E292-F292</x:f>
        <x:v>0</x:v>
      </x:c>
      <x:c r="H292" s="64" t="n">
        <x:f>IFERROR(MAXIFS(Sales!$B:$B,Sales!$C:$C,B292),"")</x:f>
        <x:v>0</x:v>
      </x:c>
      <x:c r="I292" s="50"/>
      <x:c r="J292" s="50"/>
      <x:c r="K292" s="50"/>
      <x:c r="L292" s="50"/>
      <x:c r="M292" s="50"/>
      <x:c r="N292" s="50"/>
      <x:c r="O292" s="50"/>
    </x:row>
    <x:row r="293">
      <x:c r="A293" s="50"/>
      <x:c r="B293" s="50"/>
      <x:c r="C293" s="50"/>
      <x:c r="D293" s="50"/>
      <x:c r="E293" s="66" t="n">
        <x:f>SUMIF(Sales!$C:$C,B293,Sales!$I:$I)</x:f>
        <x:v>0</x:v>
      </x:c>
      <x:c r="F293" s="66"/>
      <x:c r="G293" s="66" t="n">
        <x:f>E293-F293</x:f>
        <x:v>0</x:v>
      </x:c>
      <x:c r="H293" s="64" t="n">
        <x:f>IFERROR(MAXIFS(Sales!$B:$B,Sales!$C:$C,B293),"")</x:f>
        <x:v>0</x:v>
      </x:c>
      <x:c r="I293" s="50"/>
      <x:c r="J293" s="50"/>
      <x:c r="K293" s="50"/>
      <x:c r="L293" s="50"/>
      <x:c r="M293" s="50"/>
      <x:c r="N293" s="50"/>
      <x:c r="O293" s="50"/>
    </x:row>
    <x:row r="294">
      <x:c r="A294" s="50"/>
      <x:c r="B294" s="50"/>
      <x:c r="C294" s="50"/>
      <x:c r="D294" s="50"/>
      <x:c r="E294" s="66" t="n">
        <x:f>SUMIF(Sales!$C:$C,B294,Sales!$I:$I)</x:f>
        <x:v>0</x:v>
      </x:c>
      <x:c r="F294" s="66"/>
      <x:c r="G294" s="66" t="n">
        <x:f>E294-F294</x:f>
        <x:v>0</x:v>
      </x:c>
      <x:c r="H294" s="64" t="n">
        <x:f>IFERROR(MAXIFS(Sales!$B:$B,Sales!$C:$C,B294),"")</x:f>
        <x:v>0</x:v>
      </x:c>
      <x:c r="I294" s="50"/>
      <x:c r="J294" s="50"/>
      <x:c r="K294" s="50"/>
      <x:c r="L294" s="50"/>
      <x:c r="M294" s="50"/>
      <x:c r="N294" s="50"/>
      <x:c r="O294" s="50"/>
    </x:row>
    <x:row r="295">
      <x:c r="A295" s="50"/>
      <x:c r="B295" s="50"/>
      <x:c r="C295" s="50"/>
      <x:c r="D295" s="50"/>
      <x:c r="E295" s="66" t="n">
        <x:f>SUMIF(Sales!$C:$C,B295,Sales!$I:$I)</x:f>
        <x:v>0</x:v>
      </x:c>
      <x:c r="F295" s="66"/>
      <x:c r="G295" s="66" t="n">
        <x:f>E295-F295</x:f>
        <x:v>0</x:v>
      </x:c>
      <x:c r="H295" s="64" t="n">
        <x:f>IFERROR(MAXIFS(Sales!$B:$B,Sales!$C:$C,B295),"")</x:f>
        <x:v>0</x:v>
      </x:c>
      <x:c r="I295" s="50"/>
      <x:c r="J295" s="50"/>
      <x:c r="K295" s="50"/>
      <x:c r="L295" s="50"/>
      <x:c r="M295" s="50"/>
      <x:c r="N295" s="50"/>
      <x:c r="O295" s="50"/>
    </x:row>
    <x:row r="296">
      <x:c r="A296" s="50"/>
      <x:c r="B296" s="50"/>
      <x:c r="C296" s="50"/>
      <x:c r="D296" s="50"/>
      <x:c r="E296" s="66" t="n">
        <x:f>SUMIF(Sales!$C:$C,B296,Sales!$I:$I)</x:f>
        <x:v>0</x:v>
      </x:c>
      <x:c r="F296" s="66"/>
      <x:c r="G296" s="66" t="n">
        <x:f>E296-F296</x:f>
        <x:v>0</x:v>
      </x:c>
      <x:c r="H296" s="64" t="n">
        <x:f>IFERROR(MAXIFS(Sales!$B:$B,Sales!$C:$C,B296),"")</x:f>
        <x:v>0</x:v>
      </x:c>
      <x:c r="I296" s="50"/>
      <x:c r="J296" s="50"/>
      <x:c r="K296" s="50"/>
      <x:c r="L296" s="50"/>
      <x:c r="M296" s="50"/>
      <x:c r="N296" s="50"/>
      <x:c r="O296" s="50"/>
    </x:row>
    <x:row r="297">
      <x:c r="A297" s="50"/>
      <x:c r="B297" s="50"/>
      <x:c r="C297" s="50"/>
      <x:c r="D297" s="50"/>
      <x:c r="E297" s="66" t="n">
        <x:f>SUMIF(Sales!$C:$C,B297,Sales!$I:$I)</x:f>
        <x:v>0</x:v>
      </x:c>
      <x:c r="F297" s="66"/>
      <x:c r="G297" s="66" t="n">
        <x:f>E297-F297</x:f>
        <x:v>0</x:v>
      </x:c>
      <x:c r="H297" s="64" t="n">
        <x:f>IFERROR(MAXIFS(Sales!$B:$B,Sales!$C:$C,B297),"")</x:f>
        <x:v>0</x:v>
      </x:c>
      <x:c r="I297" s="50"/>
      <x:c r="J297" s="50"/>
      <x:c r="K297" s="50"/>
      <x:c r="L297" s="50"/>
      <x:c r="M297" s="50"/>
      <x:c r="N297" s="50"/>
      <x:c r="O297" s="50"/>
    </x:row>
    <x:row r="298">
      <x:c r="A298" s="50"/>
      <x:c r="B298" s="50"/>
      <x:c r="C298" s="50"/>
      <x:c r="D298" s="50"/>
      <x:c r="E298" s="66" t="n">
        <x:f>SUMIF(Sales!$C:$C,B298,Sales!$I:$I)</x:f>
        <x:v>0</x:v>
      </x:c>
      <x:c r="F298" s="66"/>
      <x:c r="G298" s="66" t="n">
        <x:f>E298-F298</x:f>
        <x:v>0</x:v>
      </x:c>
      <x:c r="H298" s="64" t="n">
        <x:f>IFERROR(MAXIFS(Sales!$B:$B,Sales!$C:$C,B298),"")</x:f>
        <x:v>0</x:v>
      </x:c>
      <x:c r="I298" s="50"/>
      <x:c r="J298" s="50"/>
      <x:c r="K298" s="50"/>
      <x:c r="L298" s="50"/>
      <x:c r="M298" s="50"/>
      <x:c r="N298" s="50"/>
      <x:c r="O298" s="50"/>
    </x:row>
    <x:row r="299">
      <x:c r="A299" s="50"/>
      <x:c r="B299" s="50"/>
      <x:c r="C299" s="50"/>
      <x:c r="D299" s="50"/>
      <x:c r="E299" s="66" t="n">
        <x:f>SUMIF(Sales!$C:$C,B299,Sales!$I:$I)</x:f>
        <x:v>0</x:v>
      </x:c>
      <x:c r="F299" s="66"/>
      <x:c r="G299" s="66" t="n">
        <x:f>E299-F299</x:f>
        <x:v>0</x:v>
      </x:c>
      <x:c r="H299" s="64" t="n">
        <x:f>IFERROR(MAXIFS(Sales!$B:$B,Sales!$C:$C,B299),"")</x:f>
        <x:v>0</x:v>
      </x:c>
      <x:c r="I299" s="50"/>
      <x:c r="J299" s="50"/>
      <x:c r="K299" s="50"/>
      <x:c r="L299" s="50"/>
      <x:c r="M299" s="50"/>
      <x:c r="N299" s="50"/>
      <x:c r="O299" s="50"/>
    </x:row>
    <x:row r="300">
      <x:c r="A300" s="50"/>
      <x:c r="B300" s="50"/>
      <x:c r="C300" s="50"/>
      <x:c r="D300" s="50"/>
      <x:c r="E300" s="66" t="n">
        <x:f>SUMIF(Sales!$C:$C,B300,Sales!$I:$I)</x:f>
        <x:v>0</x:v>
      </x:c>
      <x:c r="F300" s="66"/>
      <x:c r="G300" s="66" t="n">
        <x:f>E300-F300</x:f>
        <x:v>0</x:v>
      </x:c>
      <x:c r="H300" s="64" t="n">
        <x:f>IFERROR(MAXIFS(Sales!$B:$B,Sales!$C:$C,B300),"")</x:f>
        <x:v>0</x:v>
      </x:c>
      <x:c r="I300" s="50"/>
      <x:c r="J300" s="50"/>
      <x:c r="K300" s="50"/>
      <x:c r="L300" s="50"/>
      <x:c r="M300" s="50"/>
      <x:c r="N300" s="50"/>
      <x:c r="O300" s="50"/>
    </x:row>
    <x:row r="301">
      <x:c r="A301" s="50"/>
      <x:c r="B301" s="50"/>
      <x:c r="C301" s="50"/>
      <x:c r="D301" s="50"/>
      <x:c r="E301" s="66" t="n">
        <x:f>SUMIF(Sales!$C:$C,B301,Sales!$I:$I)</x:f>
        <x:v>0</x:v>
      </x:c>
      <x:c r="F301" s="66"/>
      <x:c r="G301" s="66" t="n">
        <x:f>E301-F301</x:f>
        <x:v>0</x:v>
      </x:c>
      <x:c r="H301" s="64" t="n">
        <x:f>IFERROR(MAXIFS(Sales!$B:$B,Sales!$C:$C,B301),"")</x:f>
        <x:v>0</x:v>
      </x:c>
      <x:c r="I301" s="50"/>
      <x:c r="J301" s="50"/>
      <x:c r="K301" s="50"/>
      <x:c r="L301" s="50"/>
      <x:c r="M301" s="50"/>
      <x:c r="N301" s="50"/>
      <x:c r="O301" s="50"/>
    </x:row>
    <x:row r="302">
      <x:c r="A302" s="50"/>
      <x:c r="B302" s="50"/>
      <x:c r="C302" s="50"/>
      <x:c r="D302" s="50"/>
      <x:c r="E302" s="66" t="n">
        <x:f>SUMIF(Sales!$C:$C,B302,Sales!$I:$I)</x:f>
        <x:v>0</x:v>
      </x:c>
      <x:c r="F302" s="66"/>
      <x:c r="G302" s="66" t="n">
        <x:f>E302-F302</x:f>
        <x:v>0</x:v>
      </x:c>
      <x:c r="H302" s="64" t="n">
        <x:f>IFERROR(MAXIFS(Sales!$B:$B,Sales!$C:$C,B302),"")</x:f>
        <x:v>0</x:v>
      </x:c>
      <x:c r="I302" s="50"/>
      <x:c r="J302" s="50"/>
      <x:c r="K302" s="50"/>
      <x:c r="L302" s="50"/>
      <x:c r="M302" s="50"/>
      <x:c r="N302" s="50"/>
      <x:c r="O302" s="50"/>
    </x:row>
    <x:row r="303">
      <x:c r="A303" s="50"/>
      <x:c r="B303" s="50"/>
      <x:c r="C303" s="50"/>
      <x:c r="D303" s="50"/>
      <x:c r="E303" s="66" t="n">
        <x:f>SUMIF(Sales!$C:$C,B303,Sales!$I:$I)</x:f>
        <x:v>0</x:v>
      </x:c>
      <x:c r="F303" s="66"/>
      <x:c r="G303" s="66" t="n">
        <x:f>E303-F303</x:f>
        <x:v>0</x:v>
      </x:c>
      <x:c r="H303" s="64" t="n">
        <x:f>IFERROR(MAXIFS(Sales!$B:$B,Sales!$C:$C,B303),"")</x:f>
        <x:v>0</x:v>
      </x:c>
      <x:c r="I303" s="50"/>
      <x:c r="J303" s="50"/>
      <x:c r="K303" s="50"/>
      <x:c r="L303" s="50"/>
      <x:c r="M303" s="50"/>
      <x:c r="N303" s="50"/>
      <x:c r="O303" s="50"/>
    </x:row>
    <x:row r="304">
      <x:c r="A304" s="50"/>
      <x:c r="B304" s="50"/>
      <x:c r="C304" s="50"/>
      <x:c r="D304" s="50"/>
      <x:c r="E304" s="66" t="n">
        <x:f>SUMIF(Sales!$C:$C,B304,Sales!$I:$I)</x:f>
        <x:v>0</x:v>
      </x:c>
      <x:c r="F304" s="66"/>
      <x:c r="G304" s="66" t="n">
        <x:f>E304-F304</x:f>
        <x:v>0</x:v>
      </x:c>
      <x:c r="H304" s="64" t="n">
        <x:f>IFERROR(MAXIFS(Sales!$B:$B,Sales!$C:$C,B304),"")</x:f>
        <x:v>0</x:v>
      </x:c>
      <x:c r="I304" s="50"/>
      <x:c r="J304" s="50"/>
      <x:c r="K304" s="50"/>
      <x:c r="L304" s="50"/>
      <x:c r="M304" s="50"/>
      <x:c r="N304" s="50"/>
      <x:c r="O304" s="50"/>
    </x:row>
    <x:row r="305">
      <x:c r="A305" s="50"/>
      <x:c r="B305" s="50"/>
      <x:c r="C305" s="50"/>
      <x:c r="D305" s="50"/>
      <x:c r="E305" s="66" t="n">
        <x:f>SUMIF(Sales!$C:$C,B305,Sales!$I:$I)</x:f>
        <x:v>0</x:v>
      </x:c>
      <x:c r="F305" s="66"/>
      <x:c r="G305" s="66" t="n">
        <x:f>E305-F305</x:f>
        <x:v>0</x:v>
      </x:c>
      <x:c r="H305" s="64" t="n">
        <x:f>IFERROR(MAXIFS(Sales!$B:$B,Sales!$C:$C,B305),"")</x:f>
        <x:v>0</x:v>
      </x:c>
      <x:c r="I305" s="50"/>
      <x:c r="J305" s="50"/>
      <x:c r="K305" s="50"/>
      <x:c r="L305" s="50"/>
      <x:c r="M305" s="50"/>
      <x:c r="N305" s="50"/>
      <x:c r="O305" s="50"/>
    </x:row>
    <x:row r="306">
      <x:c r="A306" s="50"/>
      <x:c r="B306" s="50"/>
      <x:c r="C306" s="50"/>
      <x:c r="D306" s="50"/>
      <x:c r="E306" s="66" t="n">
        <x:f>SUMIF(Sales!$C:$C,B306,Sales!$I:$I)</x:f>
        <x:v>0</x:v>
      </x:c>
      <x:c r="F306" s="66"/>
      <x:c r="G306" s="66" t="n">
        <x:f>E306-F306</x:f>
        <x:v>0</x:v>
      </x:c>
      <x:c r="H306" s="64" t="n">
        <x:f>IFERROR(MAXIFS(Sales!$B:$B,Sales!$C:$C,B306),"")</x:f>
        <x:v>0</x:v>
      </x:c>
      <x:c r="I306" s="50"/>
      <x:c r="J306" s="50"/>
      <x:c r="K306" s="50"/>
      <x:c r="L306" s="50"/>
      <x:c r="M306" s="50"/>
      <x:c r="N306" s="50"/>
      <x:c r="O306" s="50"/>
    </x:row>
    <x:row r="307">
      <x:c r="A307" s="50"/>
      <x:c r="B307" s="50"/>
      <x:c r="C307" s="50"/>
      <x:c r="D307" s="50"/>
      <x:c r="E307" s="66" t="n">
        <x:f>SUMIF(Sales!$C:$C,B307,Sales!$I:$I)</x:f>
        <x:v>0</x:v>
      </x:c>
      <x:c r="F307" s="66"/>
      <x:c r="G307" s="66" t="n">
        <x:f>E307-F307</x:f>
        <x:v>0</x:v>
      </x:c>
      <x:c r="H307" s="64" t="n">
        <x:f>IFERROR(MAXIFS(Sales!$B:$B,Sales!$C:$C,B307),"")</x:f>
        <x:v>0</x:v>
      </x:c>
      <x:c r="I307" s="50"/>
      <x:c r="J307" s="50"/>
      <x:c r="K307" s="50"/>
      <x:c r="L307" s="50"/>
      <x:c r="M307" s="50"/>
      <x:c r="N307" s="50"/>
      <x:c r="O307" s="50"/>
    </x:row>
    <x:row r="308">
      <x:c r="A308" s="50"/>
      <x:c r="B308" s="50"/>
      <x:c r="C308" s="50"/>
      <x:c r="D308" s="50"/>
      <x:c r="E308" s="66" t="n">
        <x:f>SUMIF(Sales!$C:$C,B308,Sales!$I:$I)</x:f>
        <x:v>0</x:v>
      </x:c>
      <x:c r="F308" s="66"/>
      <x:c r="G308" s="66" t="n">
        <x:f>E308-F308</x:f>
        <x:v>0</x:v>
      </x:c>
      <x:c r="H308" s="64" t="n">
        <x:f>IFERROR(MAXIFS(Sales!$B:$B,Sales!$C:$C,B308),"")</x:f>
        <x:v>0</x:v>
      </x:c>
      <x:c r="I308" s="50"/>
      <x:c r="J308" s="50"/>
      <x:c r="K308" s="50"/>
      <x:c r="L308" s="50"/>
      <x:c r="M308" s="50"/>
      <x:c r="N308" s="50"/>
      <x:c r="O308" s="50"/>
    </x:row>
    <x:row r="309">
      <x:c r="A309" s="50"/>
      <x:c r="B309" s="50"/>
      <x:c r="C309" s="50"/>
      <x:c r="D309" s="50"/>
      <x:c r="E309" s="66" t="n">
        <x:f>SUMIF(Sales!$C:$C,B309,Sales!$I:$I)</x:f>
        <x:v>0</x:v>
      </x:c>
      <x:c r="F309" s="66"/>
      <x:c r="G309" s="66" t="n">
        <x:f>E309-F309</x:f>
        <x:v>0</x:v>
      </x:c>
      <x:c r="H309" s="64" t="n">
        <x:f>IFERROR(MAXIFS(Sales!$B:$B,Sales!$C:$C,B309),"")</x:f>
        <x:v>0</x:v>
      </x:c>
      <x:c r="I309" s="50"/>
      <x:c r="J309" s="50"/>
      <x:c r="K309" s="50"/>
      <x:c r="L309" s="50"/>
      <x:c r="M309" s="50"/>
      <x:c r="N309" s="50"/>
      <x:c r="O309" s="50"/>
    </x:row>
    <x:row r="310">
      <x:c r="A310" s="50"/>
      <x:c r="B310" s="50"/>
      <x:c r="C310" s="50"/>
      <x:c r="D310" s="50"/>
      <x:c r="E310" s="66" t="n">
        <x:f>SUMIF(Sales!$C:$C,B310,Sales!$I:$I)</x:f>
        <x:v>0</x:v>
      </x:c>
      <x:c r="F310" s="66"/>
      <x:c r="G310" s="66" t="n">
        <x:f>E310-F310</x:f>
        <x:v>0</x:v>
      </x:c>
      <x:c r="H310" s="64" t="n">
        <x:f>IFERROR(MAXIFS(Sales!$B:$B,Sales!$C:$C,B310),"")</x:f>
        <x:v>0</x:v>
      </x:c>
      <x:c r="I310" s="50"/>
      <x:c r="J310" s="50"/>
      <x:c r="K310" s="50"/>
      <x:c r="L310" s="50"/>
      <x:c r="M310" s="50"/>
      <x:c r="N310" s="50"/>
      <x:c r="O310" s="50"/>
    </x:row>
    <x:row r="311">
      <x:c r="A311" s="50"/>
      <x:c r="B311" s="50"/>
      <x:c r="C311" s="50"/>
      <x:c r="D311" s="50"/>
      <x:c r="E311" s="66" t="n">
        <x:f>SUMIF(Sales!$C:$C,B311,Sales!$I:$I)</x:f>
        <x:v>0</x:v>
      </x:c>
      <x:c r="F311" s="66"/>
      <x:c r="G311" s="66" t="n">
        <x:f>E311-F311</x:f>
        <x:v>0</x:v>
      </x:c>
      <x:c r="H311" s="64" t="n">
        <x:f>IFERROR(MAXIFS(Sales!$B:$B,Sales!$C:$C,B311),"")</x:f>
        <x:v>0</x:v>
      </x:c>
      <x:c r="I311" s="50"/>
      <x:c r="J311" s="50"/>
      <x:c r="K311" s="50"/>
      <x:c r="L311" s="50"/>
      <x:c r="M311" s="50"/>
      <x:c r="N311" s="50"/>
      <x:c r="O311" s="50"/>
    </x:row>
    <x:row r="312">
      <x:c r="A312" s="50"/>
      <x:c r="B312" s="50"/>
      <x:c r="C312" s="50"/>
      <x:c r="D312" s="50"/>
      <x:c r="E312" s="66" t="n">
        <x:f>SUMIF(Sales!$C:$C,B312,Sales!$I:$I)</x:f>
        <x:v>0</x:v>
      </x:c>
      <x:c r="F312" s="66"/>
      <x:c r="G312" s="66" t="n">
        <x:f>E312-F312</x:f>
        <x:v>0</x:v>
      </x:c>
      <x:c r="H312" s="64" t="n">
        <x:f>IFERROR(MAXIFS(Sales!$B:$B,Sales!$C:$C,B312),"")</x:f>
        <x:v>0</x:v>
      </x:c>
      <x:c r="I312" s="50"/>
      <x:c r="J312" s="50"/>
      <x:c r="K312" s="50"/>
      <x:c r="L312" s="50"/>
      <x:c r="M312" s="50"/>
      <x:c r="N312" s="50"/>
      <x:c r="O312" s="50"/>
    </x:row>
    <x:row r="313">
      <x:c r="A313" s="50"/>
      <x:c r="B313" s="50"/>
      <x:c r="C313" s="50"/>
      <x:c r="D313" s="50"/>
      <x:c r="E313" s="66" t="n">
        <x:f>SUMIF(Sales!$C:$C,B313,Sales!$I:$I)</x:f>
        <x:v>0</x:v>
      </x:c>
      <x:c r="F313" s="66"/>
      <x:c r="G313" s="66" t="n">
        <x:f>E313-F313</x:f>
        <x:v>0</x:v>
      </x:c>
      <x:c r="H313" s="64" t="n">
        <x:f>IFERROR(MAXIFS(Sales!$B:$B,Sales!$C:$C,B313),"")</x:f>
        <x:v>0</x:v>
      </x:c>
      <x:c r="I313" s="50"/>
      <x:c r="J313" s="50"/>
      <x:c r="K313" s="50"/>
      <x:c r="L313" s="50"/>
      <x:c r="M313" s="50"/>
      <x:c r="N313" s="50"/>
      <x:c r="O313" s="50"/>
    </x:row>
    <x:row r="314">
      <x:c r="A314" s="50"/>
      <x:c r="B314" s="50"/>
      <x:c r="C314" s="50"/>
      <x:c r="D314" s="50"/>
      <x:c r="E314" s="66" t="n">
        <x:f>SUMIF(Sales!$C:$C,B314,Sales!$I:$I)</x:f>
        <x:v>0</x:v>
      </x:c>
      <x:c r="F314" s="66"/>
      <x:c r="G314" s="66" t="n">
        <x:f>E314-F314</x:f>
        <x:v>0</x:v>
      </x:c>
      <x:c r="H314" s="64" t="n">
        <x:f>IFERROR(MAXIFS(Sales!$B:$B,Sales!$C:$C,B314),"")</x:f>
        <x:v>0</x:v>
      </x:c>
      <x:c r="I314" s="50"/>
      <x:c r="J314" s="50"/>
      <x:c r="K314" s="50"/>
      <x:c r="L314" s="50"/>
      <x:c r="M314" s="50"/>
      <x:c r="N314" s="50"/>
      <x:c r="O314" s="50"/>
    </x:row>
    <x:row r="315">
      <x:c r="A315" s="50"/>
      <x:c r="B315" s="50"/>
      <x:c r="C315" s="50"/>
      <x:c r="D315" s="50"/>
      <x:c r="E315" s="66" t="n">
        <x:f>SUMIF(Sales!$C:$C,B315,Sales!$I:$I)</x:f>
        <x:v>0</x:v>
      </x:c>
      <x:c r="F315" s="66"/>
      <x:c r="G315" s="66" t="n">
        <x:f>E315-F315</x:f>
        <x:v>0</x:v>
      </x:c>
      <x:c r="H315" s="64" t="n">
        <x:f>IFERROR(MAXIFS(Sales!$B:$B,Sales!$C:$C,B315),"")</x:f>
        <x:v>0</x:v>
      </x:c>
      <x:c r="I315" s="50"/>
      <x:c r="J315" s="50"/>
      <x:c r="K315" s="50"/>
      <x:c r="L315" s="50"/>
      <x:c r="M315" s="50"/>
      <x:c r="N315" s="50"/>
      <x:c r="O315" s="50"/>
    </x:row>
    <x:row r="316">
      <x:c r="A316" s="50"/>
      <x:c r="B316" s="50"/>
      <x:c r="C316" s="50"/>
      <x:c r="D316" s="50"/>
      <x:c r="E316" s="66" t="n">
        <x:f>SUMIF(Sales!$C:$C,B316,Sales!$I:$I)</x:f>
        <x:v>0</x:v>
      </x:c>
      <x:c r="F316" s="66"/>
      <x:c r="G316" s="66" t="n">
        <x:f>E316-F316</x:f>
        <x:v>0</x:v>
      </x:c>
      <x:c r="H316" s="64" t="n">
        <x:f>IFERROR(MAXIFS(Sales!$B:$B,Sales!$C:$C,B316),"")</x:f>
        <x:v>0</x:v>
      </x:c>
      <x:c r="I316" s="50"/>
      <x:c r="J316" s="50"/>
      <x:c r="K316" s="50"/>
      <x:c r="L316" s="50"/>
      <x:c r="M316" s="50"/>
      <x:c r="N316" s="50"/>
      <x:c r="O316" s="50"/>
    </x:row>
    <x:row r="317">
      <x:c r="A317" s="50"/>
      <x:c r="B317" s="50"/>
      <x:c r="C317" s="50"/>
      <x:c r="D317" s="50"/>
      <x:c r="E317" s="66" t="n">
        <x:f>SUMIF(Sales!$C:$C,B317,Sales!$I:$I)</x:f>
        <x:v>0</x:v>
      </x:c>
      <x:c r="F317" s="66"/>
      <x:c r="G317" s="66" t="n">
        <x:f>E317-F317</x:f>
        <x:v>0</x:v>
      </x:c>
      <x:c r="H317" s="64" t="n">
        <x:f>IFERROR(MAXIFS(Sales!$B:$B,Sales!$C:$C,B317),"")</x:f>
        <x:v>0</x:v>
      </x:c>
      <x:c r="I317" s="50"/>
      <x:c r="J317" s="50"/>
      <x:c r="K317" s="50"/>
      <x:c r="L317" s="50"/>
      <x:c r="M317" s="50"/>
      <x:c r="N317" s="50"/>
      <x:c r="O317" s="50"/>
    </x:row>
    <x:row r="318">
      <x:c r="A318" s="50"/>
      <x:c r="B318" s="50"/>
      <x:c r="C318" s="50"/>
      <x:c r="D318" s="50"/>
      <x:c r="E318" s="66" t="n">
        <x:f>SUMIF(Sales!$C:$C,B318,Sales!$I:$I)</x:f>
        <x:v>0</x:v>
      </x:c>
      <x:c r="F318" s="66"/>
      <x:c r="G318" s="66" t="n">
        <x:f>E318-F318</x:f>
        <x:v>0</x:v>
      </x:c>
      <x:c r="H318" s="64" t="n">
        <x:f>IFERROR(MAXIFS(Sales!$B:$B,Sales!$C:$C,B318),"")</x:f>
        <x:v>0</x:v>
      </x:c>
      <x:c r="I318" s="50"/>
      <x:c r="J318" s="50"/>
      <x:c r="K318" s="50"/>
      <x:c r="L318" s="50"/>
      <x:c r="M318" s="50"/>
      <x:c r="N318" s="50"/>
      <x:c r="O318" s="50"/>
    </x:row>
    <x:row r="319">
      <x:c r="A319" s="50"/>
      <x:c r="B319" s="50"/>
      <x:c r="C319" s="50"/>
      <x:c r="D319" s="50"/>
      <x:c r="E319" s="66" t="n">
        <x:f>SUMIF(Sales!$C:$C,B319,Sales!$I:$I)</x:f>
        <x:v>0</x:v>
      </x:c>
      <x:c r="F319" s="66"/>
      <x:c r="G319" s="66" t="n">
        <x:f>E319-F319</x:f>
        <x:v>0</x:v>
      </x:c>
      <x:c r="H319" s="64" t="n">
        <x:f>IFERROR(MAXIFS(Sales!$B:$B,Sales!$C:$C,B319),"")</x:f>
        <x:v>0</x:v>
      </x:c>
      <x:c r="I319" s="50"/>
      <x:c r="J319" s="50"/>
      <x:c r="K319" s="50"/>
      <x:c r="L319" s="50"/>
      <x:c r="M319" s="50"/>
      <x:c r="N319" s="50"/>
      <x:c r="O319" s="50"/>
    </x:row>
    <x:row r="320">
      <x:c r="A320" s="50"/>
      <x:c r="B320" s="50"/>
      <x:c r="C320" s="50"/>
      <x:c r="D320" s="50"/>
      <x:c r="E320" s="66" t="n">
        <x:f>SUMIF(Sales!$C:$C,B320,Sales!$I:$I)</x:f>
        <x:v>0</x:v>
      </x:c>
      <x:c r="F320" s="66"/>
      <x:c r="G320" s="66" t="n">
        <x:f>E320-F320</x:f>
        <x:v>0</x:v>
      </x:c>
      <x:c r="H320" s="64" t="n">
        <x:f>IFERROR(MAXIFS(Sales!$B:$B,Sales!$C:$C,B320),"")</x:f>
        <x:v>0</x:v>
      </x:c>
      <x:c r="I320" s="50"/>
      <x:c r="J320" s="50"/>
      <x:c r="K320" s="50"/>
      <x:c r="L320" s="50"/>
      <x:c r="M320" s="50"/>
      <x:c r="N320" s="50"/>
      <x:c r="O320" s="50"/>
    </x:row>
    <x:row r="321">
      <x:c r="A321" s="50"/>
      <x:c r="B321" s="50"/>
      <x:c r="C321" s="50"/>
      <x:c r="D321" s="50"/>
      <x:c r="E321" s="66" t="n">
        <x:f>SUMIF(Sales!$C:$C,B321,Sales!$I:$I)</x:f>
        <x:v>0</x:v>
      </x:c>
      <x:c r="F321" s="66"/>
      <x:c r="G321" s="66" t="n">
        <x:f>E321-F321</x:f>
        <x:v>0</x:v>
      </x:c>
      <x:c r="H321" s="64" t="n">
        <x:f>IFERROR(MAXIFS(Sales!$B:$B,Sales!$C:$C,B321),"")</x:f>
        <x:v>0</x:v>
      </x:c>
      <x:c r="I321" s="50"/>
      <x:c r="J321" s="50"/>
      <x:c r="K321" s="50"/>
      <x:c r="L321" s="50"/>
      <x:c r="M321" s="50"/>
      <x:c r="N321" s="50"/>
      <x:c r="O321" s="50"/>
    </x:row>
    <x:row r="322">
      <x:c r="A322" s="50"/>
      <x:c r="B322" s="50"/>
      <x:c r="C322" s="50"/>
      <x:c r="D322" s="50"/>
      <x:c r="E322" s="66" t="n">
        <x:f>SUMIF(Sales!$C:$C,B322,Sales!$I:$I)</x:f>
        <x:v>0</x:v>
      </x:c>
      <x:c r="F322" s="66"/>
      <x:c r="G322" s="66" t="n">
        <x:f>E322-F322</x:f>
        <x:v>0</x:v>
      </x:c>
      <x:c r="H322" s="64" t="n">
        <x:f>IFERROR(MAXIFS(Sales!$B:$B,Sales!$C:$C,B322),"")</x:f>
        <x:v>0</x:v>
      </x:c>
      <x:c r="I322" s="50"/>
      <x:c r="J322" s="50"/>
      <x:c r="K322" s="50"/>
      <x:c r="L322" s="50"/>
      <x:c r="M322" s="50"/>
      <x:c r="N322" s="50"/>
      <x:c r="O322" s="50"/>
    </x:row>
    <x:row r="323">
      <x:c r="A323" s="50"/>
      <x:c r="B323" s="50"/>
      <x:c r="C323" s="50"/>
      <x:c r="D323" s="50"/>
      <x:c r="E323" s="66" t="n">
        <x:f>SUMIF(Sales!$C:$C,B323,Sales!$I:$I)</x:f>
        <x:v>0</x:v>
      </x:c>
      <x:c r="F323" s="66"/>
      <x:c r="G323" s="66" t="n">
        <x:f>E323-F323</x:f>
        <x:v>0</x:v>
      </x:c>
      <x:c r="H323" s="64" t="n">
        <x:f>IFERROR(MAXIFS(Sales!$B:$B,Sales!$C:$C,B323),"")</x:f>
        <x:v>0</x:v>
      </x:c>
      <x:c r="I323" s="50"/>
      <x:c r="J323" s="50"/>
      <x:c r="K323" s="50"/>
      <x:c r="L323" s="50"/>
      <x:c r="M323" s="50"/>
      <x:c r="N323" s="50"/>
      <x:c r="O323" s="50"/>
    </x:row>
    <x:row r="324">
      <x:c r="A324" s="50"/>
      <x:c r="B324" s="50"/>
      <x:c r="C324" s="50"/>
      <x:c r="D324" s="50"/>
      <x:c r="E324" s="66" t="n">
        <x:f>SUMIF(Sales!$C:$C,B324,Sales!$I:$I)</x:f>
        <x:v>0</x:v>
      </x:c>
      <x:c r="F324" s="66"/>
      <x:c r="G324" s="66" t="n">
        <x:f>E324-F324</x:f>
        <x:v>0</x:v>
      </x:c>
      <x:c r="H324" s="64" t="n">
        <x:f>IFERROR(MAXIFS(Sales!$B:$B,Sales!$C:$C,B324),"")</x:f>
        <x:v>0</x:v>
      </x:c>
      <x:c r="I324" s="50"/>
      <x:c r="J324" s="50"/>
      <x:c r="K324" s="50"/>
      <x:c r="L324" s="50"/>
      <x:c r="M324" s="50"/>
      <x:c r="N324" s="50"/>
      <x:c r="O324" s="50"/>
    </x:row>
    <x:row r="325">
      <x:c r="A325" s="50"/>
      <x:c r="B325" s="50"/>
      <x:c r="C325" s="50"/>
      <x:c r="D325" s="50"/>
      <x:c r="E325" s="66" t="n">
        <x:f>SUMIF(Sales!$C:$C,B325,Sales!$I:$I)</x:f>
        <x:v>0</x:v>
      </x:c>
      <x:c r="F325" s="66"/>
      <x:c r="G325" s="66" t="n">
        <x:f>E325-F325</x:f>
        <x:v>0</x:v>
      </x:c>
      <x:c r="H325" s="64" t="n">
        <x:f>IFERROR(MAXIFS(Sales!$B:$B,Sales!$C:$C,B325),"")</x:f>
        <x:v>0</x:v>
      </x:c>
      <x:c r="I325" s="50"/>
      <x:c r="J325" s="50"/>
      <x:c r="K325" s="50"/>
      <x:c r="L325" s="50"/>
      <x:c r="M325" s="50"/>
      <x:c r="N325" s="50"/>
      <x:c r="O325" s="50"/>
    </x:row>
    <x:row r="326">
      <x:c r="A326" s="50"/>
      <x:c r="B326" s="50"/>
      <x:c r="C326" s="50"/>
      <x:c r="D326" s="50"/>
      <x:c r="E326" s="66" t="n">
        <x:f>SUMIF(Sales!$C:$C,B326,Sales!$I:$I)</x:f>
        <x:v>0</x:v>
      </x:c>
      <x:c r="F326" s="66"/>
      <x:c r="G326" s="66" t="n">
        <x:f>E326-F326</x:f>
        <x:v>0</x:v>
      </x:c>
      <x:c r="H326" s="64" t="n">
        <x:f>IFERROR(MAXIFS(Sales!$B:$B,Sales!$C:$C,B326),"")</x:f>
        <x:v>0</x:v>
      </x:c>
      <x:c r="I326" s="50"/>
      <x:c r="J326" s="50"/>
      <x:c r="K326" s="50"/>
      <x:c r="L326" s="50"/>
      <x:c r="M326" s="50"/>
      <x:c r="N326" s="50"/>
      <x:c r="O326" s="50"/>
    </x:row>
    <x:row r="327">
      <x:c r="A327" s="50"/>
      <x:c r="B327" s="50"/>
      <x:c r="C327" s="50"/>
      <x:c r="D327" s="50"/>
      <x:c r="E327" s="66" t="n">
        <x:f>SUMIF(Sales!$C:$C,B327,Sales!$I:$I)</x:f>
        <x:v>0</x:v>
      </x:c>
      <x:c r="F327" s="66"/>
      <x:c r="G327" s="66" t="n">
        <x:f>E327-F327</x:f>
        <x:v>0</x:v>
      </x:c>
      <x:c r="H327" s="64" t="n">
        <x:f>IFERROR(MAXIFS(Sales!$B:$B,Sales!$C:$C,B327),"")</x:f>
        <x:v>0</x:v>
      </x:c>
      <x:c r="I327" s="50"/>
      <x:c r="J327" s="50"/>
      <x:c r="K327" s="50"/>
      <x:c r="L327" s="50"/>
      <x:c r="M327" s="50"/>
      <x:c r="N327" s="50"/>
      <x:c r="O327" s="50"/>
    </x:row>
    <x:row r="328">
      <x:c r="A328" s="50"/>
      <x:c r="B328" s="50"/>
      <x:c r="C328" s="50"/>
      <x:c r="D328" s="50"/>
      <x:c r="E328" s="66" t="n">
        <x:f>SUMIF(Sales!$C:$C,B328,Sales!$I:$I)</x:f>
        <x:v>0</x:v>
      </x:c>
      <x:c r="F328" s="66"/>
      <x:c r="G328" s="66" t="n">
        <x:f>E328-F328</x:f>
        <x:v>0</x:v>
      </x:c>
      <x:c r="H328" s="64" t="n">
        <x:f>IFERROR(MAXIFS(Sales!$B:$B,Sales!$C:$C,B328),"")</x:f>
        <x:v>0</x:v>
      </x:c>
      <x:c r="I328" s="50"/>
      <x:c r="J328" s="50"/>
      <x:c r="K328" s="50"/>
      <x:c r="L328" s="50"/>
      <x:c r="M328" s="50"/>
      <x:c r="N328" s="50"/>
      <x:c r="O328" s="50"/>
    </x:row>
    <x:row r="329">
      <x:c r="A329" s="50"/>
      <x:c r="B329" s="50"/>
      <x:c r="C329" s="50"/>
      <x:c r="D329" s="50"/>
      <x:c r="E329" s="66" t="n">
        <x:f>SUMIF(Sales!$C:$C,B329,Sales!$I:$I)</x:f>
        <x:v>0</x:v>
      </x:c>
      <x:c r="F329" s="66"/>
      <x:c r="G329" s="66" t="n">
        <x:f>E329-F329</x:f>
        <x:v>0</x:v>
      </x:c>
      <x:c r="H329" s="64" t="n">
        <x:f>IFERROR(MAXIFS(Sales!$B:$B,Sales!$C:$C,B329),"")</x:f>
        <x:v>0</x:v>
      </x:c>
      <x:c r="I329" s="50"/>
      <x:c r="J329" s="50"/>
      <x:c r="K329" s="50"/>
      <x:c r="L329" s="50"/>
      <x:c r="M329" s="50"/>
      <x:c r="N329" s="50"/>
      <x:c r="O329" s="50"/>
    </x:row>
    <x:row r="330">
      <x:c r="A330" s="50"/>
      <x:c r="B330" s="50"/>
      <x:c r="C330" s="50"/>
      <x:c r="D330" s="50"/>
      <x:c r="E330" s="66" t="n">
        <x:f>SUMIF(Sales!$C:$C,B330,Sales!$I:$I)</x:f>
        <x:v>0</x:v>
      </x:c>
      <x:c r="F330" s="66"/>
      <x:c r="G330" s="66" t="n">
        <x:f>E330-F330</x:f>
        <x:v>0</x:v>
      </x:c>
      <x:c r="H330" s="64" t="n">
        <x:f>IFERROR(MAXIFS(Sales!$B:$B,Sales!$C:$C,B330),"")</x:f>
        <x:v>0</x:v>
      </x:c>
      <x:c r="I330" s="50"/>
      <x:c r="J330" s="50"/>
      <x:c r="K330" s="50"/>
      <x:c r="L330" s="50"/>
      <x:c r="M330" s="50"/>
      <x:c r="N330" s="50"/>
      <x:c r="O330" s="50"/>
    </x:row>
    <x:row r="331">
      <x:c r="A331" s="50"/>
      <x:c r="B331" s="50"/>
      <x:c r="C331" s="50"/>
      <x:c r="D331" s="50"/>
      <x:c r="E331" s="66" t="n">
        <x:f>SUMIF(Sales!$C:$C,B331,Sales!$I:$I)</x:f>
        <x:v>0</x:v>
      </x:c>
      <x:c r="F331" s="66"/>
      <x:c r="G331" s="66" t="n">
        <x:f>E331-F331</x:f>
        <x:v>0</x:v>
      </x:c>
      <x:c r="H331" s="64" t="n">
        <x:f>IFERROR(MAXIFS(Sales!$B:$B,Sales!$C:$C,B331),"")</x:f>
        <x:v>0</x:v>
      </x:c>
      <x:c r="I331" s="50"/>
      <x:c r="J331" s="50"/>
      <x:c r="K331" s="50"/>
      <x:c r="L331" s="50"/>
      <x:c r="M331" s="50"/>
      <x:c r="N331" s="50"/>
      <x:c r="O331" s="50"/>
    </x:row>
    <x:row r="332">
      <x:c r="A332" s="50"/>
      <x:c r="B332" s="50"/>
      <x:c r="C332" s="50"/>
      <x:c r="D332" s="50"/>
      <x:c r="E332" s="66" t="n">
        <x:f>SUMIF(Sales!$C:$C,B332,Sales!$I:$I)</x:f>
        <x:v>0</x:v>
      </x:c>
      <x:c r="F332" s="66"/>
      <x:c r="G332" s="66" t="n">
        <x:f>E332-F332</x:f>
        <x:v>0</x:v>
      </x:c>
      <x:c r="H332" s="64" t="n">
        <x:f>IFERROR(MAXIFS(Sales!$B:$B,Sales!$C:$C,B332),"")</x:f>
        <x:v>0</x:v>
      </x:c>
      <x:c r="I332" s="50"/>
      <x:c r="J332" s="50"/>
      <x:c r="K332" s="50"/>
      <x:c r="L332" s="50"/>
      <x:c r="M332" s="50"/>
      <x:c r="N332" s="50"/>
      <x:c r="O332" s="50"/>
    </x:row>
    <x:row r="333">
      <x:c r="A333" s="50"/>
      <x:c r="B333" s="50"/>
      <x:c r="C333" s="50"/>
      <x:c r="D333" s="50"/>
      <x:c r="E333" s="66" t="n">
        <x:f>SUMIF(Sales!$C:$C,B333,Sales!$I:$I)</x:f>
        <x:v>0</x:v>
      </x:c>
      <x:c r="F333" s="66"/>
      <x:c r="G333" s="66" t="n">
        <x:f>E333-F333</x:f>
        <x:v>0</x:v>
      </x:c>
      <x:c r="H333" s="64" t="n">
        <x:f>IFERROR(MAXIFS(Sales!$B:$B,Sales!$C:$C,B333),"")</x:f>
        <x:v>0</x:v>
      </x:c>
      <x:c r="I333" s="50"/>
      <x:c r="J333" s="50"/>
      <x:c r="K333" s="50"/>
      <x:c r="L333" s="50"/>
      <x:c r="M333" s="50"/>
      <x:c r="N333" s="50"/>
      <x:c r="O333" s="50"/>
    </x:row>
    <x:row r="334">
      <x:c r="A334" s="50"/>
      <x:c r="B334" s="50"/>
      <x:c r="C334" s="50"/>
      <x:c r="D334" s="50"/>
      <x:c r="E334" s="66" t="n">
        <x:f>SUMIF(Sales!$C:$C,B334,Sales!$I:$I)</x:f>
        <x:v>0</x:v>
      </x:c>
      <x:c r="F334" s="66"/>
      <x:c r="G334" s="66" t="n">
        <x:f>E334-F334</x:f>
        <x:v>0</x:v>
      </x:c>
      <x:c r="H334" s="64" t="n">
        <x:f>IFERROR(MAXIFS(Sales!$B:$B,Sales!$C:$C,B334),"")</x:f>
        <x:v>0</x:v>
      </x:c>
      <x:c r="I334" s="50"/>
      <x:c r="J334" s="50"/>
      <x:c r="K334" s="50"/>
      <x:c r="L334" s="50"/>
      <x:c r="M334" s="50"/>
      <x:c r="N334" s="50"/>
      <x:c r="O334" s="50"/>
    </x:row>
    <x:row r="335">
      <x:c r="A335" s="50"/>
      <x:c r="B335" s="50"/>
      <x:c r="C335" s="50"/>
      <x:c r="D335" s="50"/>
      <x:c r="E335" s="66" t="n">
        <x:f>SUMIF(Sales!$C:$C,B335,Sales!$I:$I)</x:f>
        <x:v>0</x:v>
      </x:c>
      <x:c r="F335" s="66"/>
      <x:c r="G335" s="66" t="n">
        <x:f>E335-F335</x:f>
        <x:v>0</x:v>
      </x:c>
      <x:c r="H335" s="64" t="n">
        <x:f>IFERROR(MAXIFS(Sales!$B:$B,Sales!$C:$C,B335),"")</x:f>
        <x:v>0</x:v>
      </x:c>
      <x:c r="I335" s="50"/>
      <x:c r="J335" s="50"/>
      <x:c r="K335" s="50"/>
      <x:c r="L335" s="50"/>
      <x:c r="M335" s="50"/>
      <x:c r="N335" s="50"/>
      <x:c r="O335" s="50"/>
    </x:row>
    <x:row r="336">
      <x:c r="A336" s="50"/>
      <x:c r="B336" s="50"/>
      <x:c r="C336" s="50"/>
      <x:c r="D336" s="50"/>
      <x:c r="E336" s="66" t="n">
        <x:f>SUMIF(Sales!$C:$C,B336,Sales!$I:$I)</x:f>
        <x:v>0</x:v>
      </x:c>
      <x:c r="F336" s="66"/>
      <x:c r="G336" s="66" t="n">
        <x:f>E336-F336</x:f>
        <x:v>0</x:v>
      </x:c>
      <x:c r="H336" s="64" t="n">
        <x:f>IFERROR(MAXIFS(Sales!$B:$B,Sales!$C:$C,B336),"")</x:f>
        <x:v>0</x:v>
      </x:c>
      <x:c r="I336" s="50"/>
      <x:c r="J336" s="50"/>
      <x:c r="K336" s="50"/>
      <x:c r="L336" s="50"/>
      <x:c r="M336" s="50"/>
      <x:c r="N336" s="50"/>
      <x:c r="O336" s="50"/>
    </x:row>
    <x:row r="337">
      <x:c r="A337" s="50"/>
      <x:c r="B337" s="50"/>
      <x:c r="C337" s="50"/>
      <x:c r="D337" s="50"/>
      <x:c r="E337" s="66" t="n">
        <x:f>SUMIF(Sales!$C:$C,B337,Sales!$I:$I)</x:f>
        <x:v>0</x:v>
      </x:c>
      <x:c r="F337" s="66"/>
      <x:c r="G337" s="66" t="n">
        <x:f>E337-F337</x:f>
        <x:v>0</x:v>
      </x:c>
      <x:c r="H337" s="64" t="n">
        <x:f>IFERROR(MAXIFS(Sales!$B:$B,Sales!$C:$C,B337),"")</x:f>
        <x:v>0</x:v>
      </x:c>
      <x:c r="I337" s="50"/>
      <x:c r="J337" s="50"/>
      <x:c r="K337" s="50"/>
      <x:c r="L337" s="50"/>
      <x:c r="M337" s="50"/>
      <x:c r="N337" s="50"/>
      <x:c r="O337" s="50"/>
    </x:row>
    <x:row r="338">
      <x:c r="A338" s="50"/>
      <x:c r="B338" s="50"/>
      <x:c r="C338" s="50"/>
      <x:c r="D338" s="50"/>
      <x:c r="E338" s="66" t="n">
        <x:f>SUMIF(Sales!$C:$C,B338,Sales!$I:$I)</x:f>
        <x:v>0</x:v>
      </x:c>
      <x:c r="F338" s="66"/>
      <x:c r="G338" s="66" t="n">
        <x:f>E338-F338</x:f>
        <x:v>0</x:v>
      </x:c>
      <x:c r="H338" s="64" t="n">
        <x:f>IFERROR(MAXIFS(Sales!$B:$B,Sales!$C:$C,B338),"")</x:f>
        <x:v>0</x:v>
      </x:c>
      <x:c r="I338" s="50"/>
      <x:c r="J338" s="50"/>
      <x:c r="K338" s="50"/>
      <x:c r="L338" s="50"/>
      <x:c r="M338" s="50"/>
      <x:c r="N338" s="50"/>
      <x:c r="O338" s="50"/>
    </x:row>
    <x:row r="339">
      <x:c r="A339" s="50"/>
      <x:c r="B339" s="50"/>
      <x:c r="C339" s="50"/>
      <x:c r="D339" s="50"/>
      <x:c r="E339" s="66" t="n">
        <x:f>SUMIF(Sales!$C:$C,B339,Sales!$I:$I)</x:f>
        <x:v>0</x:v>
      </x:c>
      <x:c r="F339" s="66"/>
      <x:c r="G339" s="66" t="n">
        <x:f>E339-F339</x:f>
        <x:v>0</x:v>
      </x:c>
      <x:c r="H339" s="64" t="n">
        <x:f>IFERROR(MAXIFS(Sales!$B:$B,Sales!$C:$C,B339),"")</x:f>
        <x:v>0</x:v>
      </x:c>
      <x:c r="I339" s="50"/>
      <x:c r="J339" s="50"/>
      <x:c r="K339" s="50"/>
      <x:c r="L339" s="50"/>
      <x:c r="M339" s="50"/>
      <x:c r="N339" s="50"/>
      <x:c r="O339" s="50"/>
    </x:row>
    <x:row r="340">
      <x:c r="A340" s="50"/>
      <x:c r="B340" s="50"/>
      <x:c r="C340" s="50"/>
      <x:c r="D340" s="50"/>
      <x:c r="E340" s="66" t="n">
        <x:f>SUMIF(Sales!$C:$C,B340,Sales!$I:$I)</x:f>
        <x:v>0</x:v>
      </x:c>
      <x:c r="F340" s="66"/>
      <x:c r="G340" s="66" t="n">
        <x:f>E340-F340</x:f>
        <x:v>0</x:v>
      </x:c>
      <x:c r="H340" s="64" t="n">
        <x:f>IFERROR(MAXIFS(Sales!$B:$B,Sales!$C:$C,B340),"")</x:f>
        <x:v>0</x:v>
      </x:c>
      <x:c r="I340" s="50"/>
      <x:c r="J340" s="50"/>
      <x:c r="K340" s="50"/>
      <x:c r="L340" s="50"/>
      <x:c r="M340" s="50"/>
      <x:c r="N340" s="50"/>
      <x:c r="O340" s="50"/>
    </x:row>
    <x:row r="341">
      <x:c r="A341" s="50"/>
      <x:c r="B341" s="50"/>
      <x:c r="C341" s="50"/>
      <x:c r="D341" s="50"/>
      <x:c r="E341" s="66" t="n">
        <x:f>SUMIF(Sales!$C:$C,B341,Sales!$I:$I)</x:f>
        <x:v>0</x:v>
      </x:c>
      <x:c r="F341" s="66"/>
      <x:c r="G341" s="66" t="n">
        <x:f>E341-F341</x:f>
        <x:v>0</x:v>
      </x:c>
      <x:c r="H341" s="64" t="n">
        <x:f>IFERROR(MAXIFS(Sales!$B:$B,Sales!$C:$C,B341),"")</x:f>
        <x:v>0</x:v>
      </x:c>
      <x:c r="I341" s="50"/>
      <x:c r="J341" s="50"/>
      <x:c r="K341" s="50"/>
      <x:c r="L341" s="50"/>
      <x:c r="M341" s="50"/>
      <x:c r="N341" s="50"/>
      <x:c r="O341" s="50"/>
    </x:row>
    <x:row r="342">
      <x:c r="A342" s="50"/>
      <x:c r="B342" s="50"/>
      <x:c r="C342" s="50"/>
      <x:c r="D342" s="50"/>
      <x:c r="E342" s="66" t="n">
        <x:f>SUMIF(Sales!$C:$C,B342,Sales!$I:$I)</x:f>
        <x:v>0</x:v>
      </x:c>
      <x:c r="F342" s="66"/>
      <x:c r="G342" s="66" t="n">
        <x:f>E342-F342</x:f>
        <x:v>0</x:v>
      </x:c>
      <x:c r="H342" s="64" t="n">
        <x:f>IFERROR(MAXIFS(Sales!$B:$B,Sales!$C:$C,B342),"")</x:f>
        <x:v>0</x:v>
      </x:c>
      <x:c r="I342" s="50"/>
      <x:c r="J342" s="50"/>
      <x:c r="K342" s="50"/>
      <x:c r="L342" s="50"/>
      <x:c r="M342" s="50"/>
      <x:c r="N342" s="50"/>
      <x:c r="O342" s="50"/>
    </x:row>
    <x:row r="343">
      <x:c r="A343" s="50"/>
      <x:c r="B343" s="50"/>
      <x:c r="C343" s="50"/>
      <x:c r="D343" s="50"/>
      <x:c r="E343" s="66" t="n">
        <x:f>SUMIF(Sales!$C:$C,B343,Sales!$I:$I)</x:f>
        <x:v>0</x:v>
      </x:c>
      <x:c r="F343" s="66"/>
      <x:c r="G343" s="66" t="n">
        <x:f>E343-F343</x:f>
        <x:v>0</x:v>
      </x:c>
      <x:c r="H343" s="64" t="n">
        <x:f>IFERROR(MAXIFS(Sales!$B:$B,Sales!$C:$C,B343),"")</x:f>
        <x:v>0</x:v>
      </x:c>
      <x:c r="I343" s="50"/>
      <x:c r="J343" s="50"/>
      <x:c r="K343" s="50"/>
      <x:c r="L343" s="50"/>
      <x:c r="M343" s="50"/>
      <x:c r="N343" s="50"/>
      <x:c r="O343" s="50"/>
    </x:row>
    <x:row r="344">
      <x:c r="A344" s="50"/>
      <x:c r="B344" s="50"/>
      <x:c r="C344" s="50"/>
      <x:c r="D344" s="50"/>
      <x:c r="E344" s="66" t="n">
        <x:f>SUMIF(Sales!$C:$C,B344,Sales!$I:$I)</x:f>
        <x:v>0</x:v>
      </x:c>
      <x:c r="F344" s="66"/>
      <x:c r="G344" s="66" t="n">
        <x:f>E344-F344</x:f>
        <x:v>0</x:v>
      </x:c>
      <x:c r="H344" s="64" t="n">
        <x:f>IFERROR(MAXIFS(Sales!$B:$B,Sales!$C:$C,B344),"")</x:f>
        <x:v>0</x:v>
      </x:c>
      <x:c r="I344" s="50"/>
      <x:c r="J344" s="50"/>
      <x:c r="K344" s="50"/>
      <x:c r="L344" s="50"/>
      <x:c r="M344" s="50"/>
      <x:c r="N344" s="50"/>
      <x:c r="O344" s="50"/>
    </x:row>
    <x:row r="345">
      <x:c r="A345" s="50"/>
      <x:c r="B345" s="50"/>
      <x:c r="C345" s="50"/>
      <x:c r="D345" s="50"/>
      <x:c r="E345" s="66" t="n">
        <x:f>SUMIF(Sales!$C:$C,B345,Sales!$I:$I)</x:f>
        <x:v>0</x:v>
      </x:c>
      <x:c r="F345" s="66"/>
      <x:c r="G345" s="66" t="n">
        <x:f>E345-F345</x:f>
        <x:v>0</x:v>
      </x:c>
      <x:c r="H345" s="64" t="n">
        <x:f>IFERROR(MAXIFS(Sales!$B:$B,Sales!$C:$C,B345),"")</x:f>
        <x:v>0</x:v>
      </x:c>
      <x:c r="I345" s="50"/>
      <x:c r="J345" s="50"/>
      <x:c r="K345" s="50"/>
      <x:c r="L345" s="50"/>
      <x:c r="M345" s="50"/>
      <x:c r="N345" s="50"/>
      <x:c r="O345" s="50"/>
    </x:row>
    <x:row r="346">
      <x:c r="A346" s="50"/>
      <x:c r="B346" s="50"/>
      <x:c r="C346" s="50"/>
      <x:c r="D346" s="50"/>
      <x:c r="E346" s="66" t="n">
        <x:f>SUMIF(Sales!$C:$C,B346,Sales!$I:$I)</x:f>
        <x:v>0</x:v>
      </x:c>
      <x:c r="F346" s="66"/>
      <x:c r="G346" s="66" t="n">
        <x:f>E346-F346</x:f>
        <x:v>0</x:v>
      </x:c>
      <x:c r="H346" s="64" t="n">
        <x:f>IFERROR(MAXIFS(Sales!$B:$B,Sales!$C:$C,B346),"")</x:f>
        <x:v>0</x:v>
      </x:c>
      <x:c r="I346" s="50"/>
      <x:c r="J346" s="50"/>
      <x:c r="K346" s="50"/>
      <x:c r="L346" s="50"/>
      <x:c r="M346" s="50"/>
      <x:c r="N346" s="50"/>
      <x:c r="O346" s="50"/>
    </x:row>
    <x:row r="347">
      <x:c r="A347" s="50"/>
      <x:c r="B347" s="50"/>
      <x:c r="C347" s="50"/>
      <x:c r="D347" s="50"/>
      <x:c r="E347" s="66" t="n">
        <x:f>SUMIF(Sales!$C:$C,B347,Sales!$I:$I)</x:f>
        <x:v>0</x:v>
      </x:c>
      <x:c r="F347" s="66"/>
      <x:c r="G347" s="66" t="n">
        <x:f>E347-F347</x:f>
        <x:v>0</x:v>
      </x:c>
      <x:c r="H347" s="64" t="n">
        <x:f>IFERROR(MAXIFS(Sales!$B:$B,Sales!$C:$C,B347),"")</x:f>
        <x:v>0</x:v>
      </x:c>
      <x:c r="I347" s="50"/>
      <x:c r="J347" s="50"/>
      <x:c r="K347" s="50"/>
      <x:c r="L347" s="50"/>
      <x:c r="M347" s="50"/>
      <x:c r="N347" s="50"/>
      <x:c r="O347" s="50"/>
    </x:row>
    <x:row r="348">
      <x:c r="A348" s="50"/>
      <x:c r="B348" s="50"/>
      <x:c r="C348" s="50"/>
      <x:c r="D348" s="50"/>
      <x:c r="E348" s="66" t="n">
        <x:f>SUMIF(Sales!$C:$C,B348,Sales!$I:$I)</x:f>
        <x:v>0</x:v>
      </x:c>
      <x:c r="F348" s="66"/>
      <x:c r="G348" s="66" t="n">
        <x:f>E348-F348</x:f>
        <x:v>0</x:v>
      </x:c>
      <x:c r="H348" s="64" t="n">
        <x:f>IFERROR(MAXIFS(Sales!$B:$B,Sales!$C:$C,B348),"")</x:f>
        <x:v>0</x:v>
      </x:c>
      <x:c r="I348" s="50"/>
      <x:c r="J348" s="50"/>
      <x:c r="K348" s="50"/>
      <x:c r="L348" s="50"/>
      <x:c r="M348" s="50"/>
      <x:c r="N348" s="50"/>
      <x:c r="O348" s="50"/>
    </x:row>
    <x:row r="349">
      <x:c r="A349" s="50"/>
      <x:c r="B349" s="50"/>
      <x:c r="C349" s="50"/>
      <x:c r="D349" s="50"/>
      <x:c r="E349" s="66" t="n">
        <x:f>SUMIF(Sales!$C:$C,B349,Sales!$I:$I)</x:f>
        <x:v>0</x:v>
      </x:c>
      <x:c r="F349" s="66"/>
      <x:c r="G349" s="66" t="n">
        <x:f>E349-F349</x:f>
        <x:v>0</x:v>
      </x:c>
      <x:c r="H349" s="64" t="n">
        <x:f>IFERROR(MAXIFS(Sales!$B:$B,Sales!$C:$C,B349),"")</x:f>
        <x:v>0</x:v>
      </x:c>
      <x:c r="I349" s="50"/>
      <x:c r="J349" s="50"/>
      <x:c r="K349" s="50"/>
      <x:c r="L349" s="50"/>
      <x:c r="M349" s="50"/>
      <x:c r="N349" s="50"/>
      <x:c r="O349" s="50"/>
    </x:row>
    <x:row r="350">
      <x:c r="A350" s="50"/>
      <x:c r="B350" s="50"/>
      <x:c r="C350" s="50"/>
      <x:c r="D350" s="50"/>
      <x:c r="E350" s="66" t="n">
        <x:f>SUMIF(Sales!$C:$C,B350,Sales!$I:$I)</x:f>
        <x:v>0</x:v>
      </x:c>
      <x:c r="F350" s="66"/>
      <x:c r="G350" s="66" t="n">
        <x:f>E350-F350</x:f>
        <x:v>0</x:v>
      </x:c>
      <x:c r="H350" s="64" t="n">
        <x:f>IFERROR(MAXIFS(Sales!$B:$B,Sales!$C:$C,B350),"")</x:f>
        <x:v>0</x:v>
      </x:c>
      <x:c r="I350" s="50"/>
      <x:c r="J350" s="50"/>
      <x:c r="K350" s="50"/>
      <x:c r="L350" s="50"/>
      <x:c r="M350" s="50"/>
      <x:c r="N350" s="50"/>
      <x:c r="O350" s="50"/>
    </x:row>
    <x:row r="351">
      <x:c r="A351" s="50"/>
      <x:c r="B351" s="50"/>
      <x:c r="C351" s="50"/>
      <x:c r="D351" s="50"/>
      <x:c r="E351" s="66" t="n">
        <x:f>SUMIF(Sales!$C:$C,B351,Sales!$I:$I)</x:f>
        <x:v>0</x:v>
      </x:c>
      <x:c r="F351" s="66"/>
      <x:c r="G351" s="66" t="n">
        <x:f>E351-F351</x:f>
        <x:v>0</x:v>
      </x:c>
      <x:c r="H351" s="64" t="n">
        <x:f>IFERROR(MAXIFS(Sales!$B:$B,Sales!$C:$C,B351),"")</x:f>
        <x:v>0</x:v>
      </x:c>
      <x:c r="I351" s="50"/>
      <x:c r="J351" s="50"/>
      <x:c r="K351" s="50"/>
      <x:c r="L351" s="50"/>
      <x:c r="M351" s="50"/>
      <x:c r="N351" s="50"/>
      <x:c r="O351" s="50"/>
    </x:row>
    <x:row r="352">
      <x:c r="A352" s="50"/>
      <x:c r="B352" s="50"/>
      <x:c r="C352" s="50"/>
      <x:c r="D352" s="50"/>
      <x:c r="E352" s="66" t="n">
        <x:f>SUMIF(Sales!$C:$C,B352,Sales!$I:$I)</x:f>
        <x:v>0</x:v>
      </x:c>
      <x:c r="F352" s="66"/>
      <x:c r="G352" s="66" t="n">
        <x:f>E352-F352</x:f>
        <x:v>0</x:v>
      </x:c>
      <x:c r="H352" s="64" t="n">
        <x:f>IFERROR(MAXIFS(Sales!$B:$B,Sales!$C:$C,B352),"")</x:f>
        <x:v>0</x:v>
      </x:c>
      <x:c r="I352" s="50"/>
      <x:c r="J352" s="50"/>
      <x:c r="K352" s="50"/>
      <x:c r="L352" s="50"/>
      <x:c r="M352" s="50"/>
      <x:c r="N352" s="50"/>
      <x:c r="O352" s="50"/>
    </x:row>
    <x:row r="353">
      <x:c r="A353" s="50"/>
      <x:c r="B353" s="50"/>
      <x:c r="C353" s="50"/>
      <x:c r="D353" s="50"/>
      <x:c r="E353" s="66" t="n">
        <x:f>SUMIF(Sales!$C:$C,B353,Sales!$I:$I)</x:f>
        <x:v>0</x:v>
      </x:c>
      <x:c r="F353" s="66"/>
      <x:c r="G353" s="66" t="n">
        <x:f>E353-F353</x:f>
        <x:v>0</x:v>
      </x:c>
      <x:c r="H353" s="64" t="n">
        <x:f>IFERROR(MAXIFS(Sales!$B:$B,Sales!$C:$C,B353),"")</x:f>
        <x:v>0</x:v>
      </x:c>
      <x:c r="I353" s="50"/>
      <x:c r="J353" s="50"/>
      <x:c r="K353" s="50"/>
      <x:c r="L353" s="50"/>
      <x:c r="M353" s="50"/>
      <x:c r="N353" s="50"/>
      <x:c r="O353" s="50"/>
    </x:row>
    <x:row r="354">
      <x:c r="A354" s="50"/>
      <x:c r="B354" s="50"/>
      <x:c r="C354" s="50"/>
      <x:c r="D354" s="50"/>
      <x:c r="E354" s="66" t="n">
        <x:f>SUMIF(Sales!$C:$C,B354,Sales!$I:$I)</x:f>
        <x:v>0</x:v>
      </x:c>
      <x:c r="F354" s="66"/>
      <x:c r="G354" s="66" t="n">
        <x:f>E354-F354</x:f>
        <x:v>0</x:v>
      </x:c>
      <x:c r="H354" s="64" t="n">
        <x:f>IFERROR(MAXIFS(Sales!$B:$B,Sales!$C:$C,B354),"")</x:f>
        <x:v>0</x:v>
      </x:c>
      <x:c r="I354" s="50"/>
      <x:c r="J354" s="50"/>
      <x:c r="K354" s="50"/>
      <x:c r="L354" s="50"/>
      <x:c r="M354" s="50"/>
      <x:c r="N354" s="50"/>
      <x:c r="O354" s="50"/>
    </x:row>
    <x:row r="355">
      <x:c r="A355" s="50"/>
      <x:c r="B355" s="50"/>
      <x:c r="C355" s="50"/>
      <x:c r="D355" s="50"/>
      <x:c r="E355" s="66" t="n">
        <x:f>SUMIF(Sales!$C:$C,B355,Sales!$I:$I)</x:f>
        <x:v>0</x:v>
      </x:c>
      <x:c r="F355" s="66"/>
      <x:c r="G355" s="66" t="n">
        <x:f>E355-F355</x:f>
        <x:v>0</x:v>
      </x:c>
      <x:c r="H355" s="64" t="n">
        <x:f>IFERROR(MAXIFS(Sales!$B:$B,Sales!$C:$C,B355),"")</x:f>
        <x:v>0</x:v>
      </x:c>
      <x:c r="I355" s="50"/>
      <x:c r="J355" s="50"/>
      <x:c r="K355" s="50"/>
      <x:c r="L355" s="50"/>
      <x:c r="M355" s="50"/>
      <x:c r="N355" s="50"/>
      <x:c r="O355" s="50"/>
    </x:row>
    <x:row r="356">
      <x:c r="A356" s="50"/>
      <x:c r="B356" s="50"/>
      <x:c r="C356" s="50"/>
      <x:c r="D356" s="50"/>
      <x:c r="E356" s="66" t="n">
        <x:f>SUMIF(Sales!$C:$C,B356,Sales!$I:$I)</x:f>
        <x:v>0</x:v>
      </x:c>
      <x:c r="F356" s="66"/>
      <x:c r="G356" s="66" t="n">
        <x:f>E356-F356</x:f>
        <x:v>0</x:v>
      </x:c>
      <x:c r="H356" s="64" t="n">
        <x:f>IFERROR(MAXIFS(Sales!$B:$B,Sales!$C:$C,B356),"")</x:f>
        <x:v>0</x:v>
      </x:c>
      <x:c r="I356" s="50"/>
      <x:c r="J356" s="50"/>
      <x:c r="K356" s="50"/>
      <x:c r="L356" s="50"/>
      <x:c r="M356" s="50"/>
      <x:c r="N356" s="50"/>
      <x:c r="O356" s="50"/>
    </x:row>
    <x:row r="357">
      <x:c r="A357" s="50"/>
      <x:c r="B357" s="50"/>
      <x:c r="C357" s="50"/>
      <x:c r="D357" s="50"/>
      <x:c r="E357" s="66" t="n">
        <x:f>SUMIF(Sales!$C:$C,B357,Sales!$I:$I)</x:f>
        <x:v>0</x:v>
      </x:c>
      <x:c r="F357" s="66"/>
      <x:c r="G357" s="66" t="n">
        <x:f>E357-F357</x:f>
        <x:v>0</x:v>
      </x:c>
      <x:c r="H357" s="64" t="n">
        <x:f>IFERROR(MAXIFS(Sales!$B:$B,Sales!$C:$C,B357),"")</x:f>
        <x:v>0</x:v>
      </x:c>
      <x:c r="I357" s="50"/>
      <x:c r="J357" s="50"/>
      <x:c r="K357" s="50"/>
      <x:c r="L357" s="50"/>
      <x:c r="M357" s="50"/>
      <x:c r="N357" s="50"/>
      <x:c r="O357" s="50"/>
    </x:row>
    <x:row r="358">
      <x:c r="A358" s="50"/>
      <x:c r="B358" s="50"/>
      <x:c r="C358" s="50"/>
      <x:c r="D358" s="50"/>
      <x:c r="E358" s="66" t="n">
        <x:f>SUMIF(Sales!$C:$C,B358,Sales!$I:$I)</x:f>
        <x:v>0</x:v>
      </x:c>
      <x:c r="F358" s="66"/>
      <x:c r="G358" s="66" t="n">
        <x:f>E358-F358</x:f>
        <x:v>0</x:v>
      </x:c>
      <x:c r="H358" s="64" t="n">
        <x:f>IFERROR(MAXIFS(Sales!$B:$B,Sales!$C:$C,B358),"")</x:f>
        <x:v>0</x:v>
      </x:c>
      <x:c r="I358" s="50"/>
      <x:c r="J358" s="50"/>
      <x:c r="K358" s="50"/>
      <x:c r="L358" s="50"/>
      <x:c r="M358" s="50"/>
      <x:c r="N358" s="50"/>
      <x:c r="O358" s="50"/>
    </x:row>
    <x:row r="359">
      <x:c r="A359" s="50"/>
      <x:c r="B359" s="50"/>
      <x:c r="C359" s="50"/>
      <x:c r="D359" s="50"/>
      <x:c r="E359" s="66" t="n">
        <x:f>SUMIF(Sales!$C:$C,B359,Sales!$I:$I)</x:f>
        <x:v>0</x:v>
      </x:c>
      <x:c r="F359" s="66"/>
      <x:c r="G359" s="66" t="n">
        <x:f>E359-F359</x:f>
        <x:v>0</x:v>
      </x:c>
      <x:c r="H359" s="64" t="n">
        <x:f>IFERROR(MAXIFS(Sales!$B:$B,Sales!$C:$C,B359),"")</x:f>
        <x:v>0</x:v>
      </x:c>
      <x:c r="I359" s="50"/>
      <x:c r="J359" s="50"/>
      <x:c r="K359" s="50"/>
      <x:c r="L359" s="50"/>
      <x:c r="M359" s="50"/>
      <x:c r="N359" s="50"/>
      <x:c r="O359" s="50"/>
    </x:row>
    <x:row r="360">
      <x:c r="A360" s="50"/>
      <x:c r="B360" s="50"/>
      <x:c r="C360" s="50"/>
      <x:c r="D360" s="50"/>
      <x:c r="E360" s="66" t="n">
        <x:f>SUMIF(Sales!$C:$C,B360,Sales!$I:$I)</x:f>
        <x:v>0</x:v>
      </x:c>
      <x:c r="F360" s="66"/>
      <x:c r="G360" s="66" t="n">
        <x:f>E360-F360</x:f>
        <x:v>0</x:v>
      </x:c>
      <x:c r="H360" s="64" t="n">
        <x:f>IFERROR(MAXIFS(Sales!$B:$B,Sales!$C:$C,B360),"")</x:f>
        <x:v>0</x:v>
      </x:c>
      <x:c r="I360" s="50"/>
      <x:c r="J360" s="50"/>
      <x:c r="K360" s="50"/>
      <x:c r="L360" s="50"/>
      <x:c r="M360" s="50"/>
      <x:c r="N360" s="50"/>
      <x:c r="O360" s="50"/>
    </x:row>
    <x:row r="361">
      <x:c r="A361" s="50"/>
      <x:c r="B361" s="50"/>
      <x:c r="C361" s="50"/>
      <x:c r="D361" s="50"/>
      <x:c r="E361" s="66" t="n">
        <x:f>SUMIF(Sales!$C:$C,B361,Sales!$I:$I)</x:f>
        <x:v>0</x:v>
      </x:c>
      <x:c r="F361" s="66"/>
      <x:c r="G361" s="66" t="n">
        <x:f>E361-F361</x:f>
        <x:v>0</x:v>
      </x:c>
      <x:c r="H361" s="64" t="n">
        <x:f>IFERROR(MAXIFS(Sales!$B:$B,Sales!$C:$C,B361),"")</x:f>
        <x:v>0</x:v>
      </x:c>
      <x:c r="I361" s="50"/>
      <x:c r="J361" s="50"/>
      <x:c r="K361" s="50"/>
      <x:c r="L361" s="50"/>
      <x:c r="M361" s="50"/>
      <x:c r="N361" s="50"/>
      <x:c r="O361" s="50"/>
    </x:row>
    <x:row r="362">
      <x:c r="A362" s="50"/>
      <x:c r="B362" s="50"/>
      <x:c r="C362" s="50"/>
      <x:c r="D362" s="50"/>
      <x:c r="E362" s="66" t="n">
        <x:f>SUMIF(Sales!$C:$C,B362,Sales!$I:$I)</x:f>
        <x:v>0</x:v>
      </x:c>
      <x:c r="F362" s="66"/>
      <x:c r="G362" s="66" t="n">
        <x:f>E362-F362</x:f>
        <x:v>0</x:v>
      </x:c>
      <x:c r="H362" s="64" t="n">
        <x:f>IFERROR(MAXIFS(Sales!$B:$B,Sales!$C:$C,B362),"")</x:f>
        <x:v>0</x:v>
      </x:c>
      <x:c r="I362" s="50"/>
      <x:c r="J362" s="50"/>
      <x:c r="K362" s="50"/>
      <x:c r="L362" s="50"/>
      <x:c r="M362" s="50"/>
      <x:c r="N362" s="50"/>
      <x:c r="O362" s="50"/>
    </x:row>
    <x:row r="363">
      <x:c r="A363" s="50"/>
      <x:c r="B363" s="50"/>
      <x:c r="C363" s="50"/>
      <x:c r="D363" s="50"/>
      <x:c r="E363" s="66" t="n">
        <x:f>SUMIF(Sales!$C:$C,B363,Sales!$I:$I)</x:f>
        <x:v>0</x:v>
      </x:c>
      <x:c r="F363" s="66"/>
      <x:c r="G363" s="66" t="n">
        <x:f>E363-F363</x:f>
        <x:v>0</x:v>
      </x:c>
      <x:c r="H363" s="64" t="n">
        <x:f>IFERROR(MAXIFS(Sales!$B:$B,Sales!$C:$C,B363),"")</x:f>
        <x:v>0</x:v>
      </x:c>
      <x:c r="I363" s="50"/>
      <x:c r="J363" s="50"/>
      <x:c r="K363" s="50"/>
      <x:c r="L363" s="50"/>
      <x:c r="M363" s="50"/>
      <x:c r="N363" s="50"/>
      <x:c r="O363" s="50"/>
    </x:row>
    <x:row r="364">
      <x:c r="A364" s="50"/>
      <x:c r="B364" s="50"/>
      <x:c r="C364" s="50"/>
      <x:c r="D364" s="50"/>
      <x:c r="E364" s="66" t="n">
        <x:f>SUMIF(Sales!$C:$C,B364,Sales!$I:$I)</x:f>
        <x:v>0</x:v>
      </x:c>
      <x:c r="F364" s="66"/>
      <x:c r="G364" s="66" t="n">
        <x:f>E364-F364</x:f>
        <x:v>0</x:v>
      </x:c>
      <x:c r="H364" s="64" t="n">
        <x:f>IFERROR(MAXIFS(Sales!$B:$B,Sales!$C:$C,B364),"")</x:f>
        <x:v>0</x:v>
      </x:c>
      <x:c r="I364" s="50"/>
      <x:c r="J364" s="50"/>
      <x:c r="K364" s="50"/>
      <x:c r="L364" s="50"/>
      <x:c r="M364" s="50"/>
      <x:c r="N364" s="50"/>
      <x:c r="O364" s="50"/>
    </x:row>
    <x:row r="365">
      <x:c r="A365" s="50"/>
      <x:c r="B365" s="50"/>
      <x:c r="C365" s="50"/>
      <x:c r="D365" s="50"/>
      <x:c r="E365" s="66" t="n">
        <x:f>SUMIF(Sales!$C:$C,B365,Sales!$I:$I)</x:f>
        <x:v>0</x:v>
      </x:c>
      <x:c r="F365" s="66"/>
      <x:c r="G365" s="66" t="n">
        <x:f>E365-F365</x:f>
        <x:v>0</x:v>
      </x:c>
      <x:c r="H365" s="64" t="n">
        <x:f>IFERROR(MAXIFS(Sales!$B:$B,Sales!$C:$C,B365),"")</x:f>
        <x:v>0</x:v>
      </x:c>
      <x:c r="I365" s="50"/>
      <x:c r="J365" s="50"/>
      <x:c r="K365" s="50"/>
      <x:c r="L365" s="50"/>
      <x:c r="M365" s="50"/>
      <x:c r="N365" s="50"/>
      <x:c r="O365" s="50"/>
    </x:row>
    <x:row r="366">
      <x:c r="A366" s="50"/>
      <x:c r="B366" s="50"/>
      <x:c r="C366" s="50"/>
      <x:c r="D366" s="50"/>
      <x:c r="E366" s="66" t="n">
        <x:f>SUMIF(Sales!$C:$C,B366,Sales!$I:$I)</x:f>
        <x:v>0</x:v>
      </x:c>
      <x:c r="F366" s="66"/>
      <x:c r="G366" s="66" t="n">
        <x:f>E366-F366</x:f>
        <x:v>0</x:v>
      </x:c>
      <x:c r="H366" s="64" t="n">
        <x:f>IFERROR(MAXIFS(Sales!$B:$B,Sales!$C:$C,B366),"")</x:f>
        <x:v>0</x:v>
      </x:c>
      <x:c r="I366" s="50"/>
      <x:c r="J366" s="50"/>
      <x:c r="K366" s="50"/>
      <x:c r="L366" s="50"/>
      <x:c r="M366" s="50"/>
      <x:c r="N366" s="50"/>
      <x:c r="O366" s="50"/>
    </x:row>
    <x:row r="367">
      <x:c r="A367" s="50"/>
      <x:c r="B367" s="50"/>
      <x:c r="C367" s="50"/>
      <x:c r="D367" s="50"/>
      <x:c r="E367" s="66" t="n">
        <x:f>SUMIF(Sales!$C:$C,B367,Sales!$I:$I)</x:f>
        <x:v>0</x:v>
      </x:c>
      <x:c r="F367" s="66"/>
      <x:c r="G367" s="66" t="n">
        <x:f>E367-F367</x:f>
        <x:v>0</x:v>
      </x:c>
      <x:c r="H367" s="64" t="n">
        <x:f>IFERROR(MAXIFS(Sales!$B:$B,Sales!$C:$C,B367),"")</x:f>
        <x:v>0</x:v>
      </x:c>
      <x:c r="I367" s="50"/>
      <x:c r="J367" s="50"/>
      <x:c r="K367" s="50"/>
      <x:c r="L367" s="50"/>
      <x:c r="M367" s="50"/>
      <x:c r="N367" s="50"/>
      <x:c r="O367" s="50"/>
    </x:row>
    <x:row r="368">
      <x:c r="A368" s="50"/>
      <x:c r="B368" s="50"/>
      <x:c r="C368" s="50"/>
      <x:c r="D368" s="50"/>
      <x:c r="E368" s="66" t="n">
        <x:f>SUMIF(Sales!$C:$C,B368,Sales!$I:$I)</x:f>
        <x:v>0</x:v>
      </x:c>
      <x:c r="F368" s="66"/>
      <x:c r="G368" s="66" t="n">
        <x:f>E368-F368</x:f>
        <x:v>0</x:v>
      </x:c>
      <x:c r="H368" s="64" t="n">
        <x:f>IFERROR(MAXIFS(Sales!$B:$B,Sales!$C:$C,B368),"")</x:f>
        <x:v>0</x:v>
      </x:c>
      <x:c r="I368" s="50"/>
      <x:c r="J368" s="50"/>
      <x:c r="K368" s="50"/>
      <x:c r="L368" s="50"/>
      <x:c r="M368" s="50"/>
      <x:c r="N368" s="50"/>
      <x:c r="O368" s="50"/>
    </x:row>
    <x:row r="369">
      <x:c r="A369" s="50"/>
      <x:c r="B369" s="50"/>
      <x:c r="C369" s="50"/>
      <x:c r="D369" s="50"/>
      <x:c r="E369" s="66" t="n">
        <x:f>SUMIF(Sales!$C:$C,B369,Sales!$I:$I)</x:f>
        <x:v>0</x:v>
      </x:c>
      <x:c r="F369" s="66"/>
      <x:c r="G369" s="66" t="n">
        <x:f>E369-F369</x:f>
        <x:v>0</x:v>
      </x:c>
      <x:c r="H369" s="64" t="n">
        <x:f>IFERROR(MAXIFS(Sales!$B:$B,Sales!$C:$C,B369),"")</x:f>
        <x:v>0</x:v>
      </x:c>
      <x:c r="I369" s="50"/>
      <x:c r="J369" s="50"/>
      <x:c r="K369" s="50"/>
      <x:c r="L369" s="50"/>
      <x:c r="M369" s="50"/>
      <x:c r="N369" s="50"/>
      <x:c r="O369" s="50"/>
    </x:row>
    <x:row r="370">
      <x:c r="A370" s="50"/>
      <x:c r="B370" s="50"/>
      <x:c r="C370" s="50"/>
      <x:c r="D370" s="50"/>
      <x:c r="E370" s="66" t="n">
        <x:f>SUMIF(Sales!$C:$C,B370,Sales!$I:$I)</x:f>
        <x:v>0</x:v>
      </x:c>
      <x:c r="F370" s="66"/>
      <x:c r="G370" s="66" t="n">
        <x:f>E370-F370</x:f>
        <x:v>0</x:v>
      </x:c>
      <x:c r="H370" s="64" t="n">
        <x:f>IFERROR(MAXIFS(Sales!$B:$B,Sales!$C:$C,B370),"")</x:f>
        <x:v>0</x:v>
      </x:c>
      <x:c r="I370" s="50"/>
      <x:c r="J370" s="50"/>
      <x:c r="K370" s="50"/>
      <x:c r="L370" s="50"/>
      <x:c r="M370" s="50"/>
      <x:c r="N370" s="50"/>
      <x:c r="O370" s="50"/>
    </x:row>
    <x:row r="371">
      <x:c r="A371" s="50"/>
      <x:c r="B371" s="50"/>
      <x:c r="C371" s="50"/>
      <x:c r="D371" s="50"/>
      <x:c r="E371" s="66" t="n">
        <x:f>SUMIF(Sales!$C:$C,B371,Sales!$I:$I)</x:f>
        <x:v>0</x:v>
      </x:c>
      <x:c r="F371" s="66"/>
      <x:c r="G371" s="66" t="n">
        <x:f>E371-F371</x:f>
        <x:v>0</x:v>
      </x:c>
      <x:c r="H371" s="64" t="n">
        <x:f>IFERROR(MAXIFS(Sales!$B:$B,Sales!$C:$C,B371),"")</x:f>
        <x:v>0</x:v>
      </x:c>
      <x:c r="I371" s="50"/>
      <x:c r="J371" s="50"/>
      <x:c r="K371" s="50"/>
      <x:c r="L371" s="50"/>
      <x:c r="M371" s="50"/>
      <x:c r="N371" s="50"/>
      <x:c r="O371" s="50"/>
    </x:row>
    <x:row r="372">
      <x:c r="A372" s="50"/>
      <x:c r="B372" s="50"/>
      <x:c r="C372" s="50"/>
      <x:c r="D372" s="50"/>
      <x:c r="E372" s="66" t="n">
        <x:f>SUMIF(Sales!$C:$C,B372,Sales!$I:$I)</x:f>
        <x:v>0</x:v>
      </x:c>
      <x:c r="F372" s="66"/>
      <x:c r="G372" s="66" t="n">
        <x:f>E372-F372</x:f>
        <x:v>0</x:v>
      </x:c>
      <x:c r="H372" s="64" t="n">
        <x:f>IFERROR(MAXIFS(Sales!$B:$B,Sales!$C:$C,B372),"")</x:f>
        <x:v>0</x:v>
      </x:c>
      <x:c r="I372" s="50"/>
      <x:c r="J372" s="50"/>
      <x:c r="K372" s="50"/>
      <x:c r="L372" s="50"/>
      <x:c r="M372" s="50"/>
      <x:c r="N372" s="50"/>
      <x:c r="O372" s="50"/>
    </x:row>
    <x:row r="373">
      <x:c r="A373" s="50"/>
      <x:c r="B373" s="50"/>
      <x:c r="C373" s="50"/>
      <x:c r="D373" s="50"/>
      <x:c r="E373" s="66" t="n">
        <x:f>SUMIF(Sales!$C:$C,B373,Sales!$I:$I)</x:f>
        <x:v>0</x:v>
      </x:c>
      <x:c r="F373" s="66"/>
      <x:c r="G373" s="66" t="n">
        <x:f>E373-F373</x:f>
        <x:v>0</x:v>
      </x:c>
      <x:c r="H373" s="64" t="n">
        <x:f>IFERROR(MAXIFS(Sales!$B:$B,Sales!$C:$C,B373),"")</x:f>
        <x:v>0</x:v>
      </x:c>
      <x:c r="I373" s="50"/>
      <x:c r="J373" s="50"/>
      <x:c r="K373" s="50"/>
      <x:c r="L373" s="50"/>
      <x:c r="M373" s="50"/>
      <x:c r="N373" s="50"/>
      <x:c r="O373" s="50"/>
    </x:row>
    <x:row r="374">
      <x:c r="A374" s="50"/>
      <x:c r="B374" s="50"/>
      <x:c r="C374" s="50"/>
      <x:c r="D374" s="50"/>
      <x:c r="E374" s="66" t="n">
        <x:f>SUMIF(Sales!$C:$C,B374,Sales!$I:$I)</x:f>
        <x:v>0</x:v>
      </x:c>
      <x:c r="F374" s="66"/>
      <x:c r="G374" s="66" t="n">
        <x:f>E374-F374</x:f>
        <x:v>0</x:v>
      </x:c>
      <x:c r="H374" s="64" t="n">
        <x:f>IFERROR(MAXIFS(Sales!$B:$B,Sales!$C:$C,B374),"")</x:f>
        <x:v>0</x:v>
      </x:c>
      <x:c r="I374" s="50"/>
      <x:c r="J374" s="50"/>
      <x:c r="K374" s="50"/>
      <x:c r="L374" s="50"/>
      <x:c r="M374" s="50"/>
      <x:c r="N374" s="50"/>
      <x:c r="O374" s="50"/>
    </x:row>
    <x:row r="375">
      <x:c r="A375" s="50"/>
      <x:c r="B375" s="50"/>
      <x:c r="C375" s="50"/>
      <x:c r="D375" s="50"/>
      <x:c r="E375" s="66" t="n">
        <x:f>SUMIF(Sales!$C:$C,B375,Sales!$I:$I)</x:f>
        <x:v>0</x:v>
      </x:c>
      <x:c r="F375" s="66"/>
      <x:c r="G375" s="66" t="n">
        <x:f>E375-F375</x:f>
        <x:v>0</x:v>
      </x:c>
      <x:c r="H375" s="64" t="n">
        <x:f>IFERROR(MAXIFS(Sales!$B:$B,Sales!$C:$C,B375),"")</x:f>
        <x:v>0</x:v>
      </x:c>
      <x:c r="I375" s="50"/>
      <x:c r="J375" s="50"/>
      <x:c r="K375" s="50"/>
      <x:c r="L375" s="50"/>
      <x:c r="M375" s="50"/>
      <x:c r="N375" s="50"/>
      <x:c r="O375" s="50"/>
    </x:row>
    <x:row r="376">
      <x:c r="A376" s="50"/>
      <x:c r="B376" s="50"/>
      <x:c r="C376" s="50"/>
      <x:c r="D376" s="50"/>
      <x:c r="E376" s="66" t="n">
        <x:f>SUMIF(Sales!$C:$C,B376,Sales!$I:$I)</x:f>
        <x:v>0</x:v>
      </x:c>
      <x:c r="F376" s="66"/>
      <x:c r="G376" s="66" t="n">
        <x:f>E376-F376</x:f>
        <x:v>0</x:v>
      </x:c>
      <x:c r="H376" s="64" t="n">
        <x:f>IFERROR(MAXIFS(Sales!$B:$B,Sales!$C:$C,B376),"")</x:f>
        <x:v>0</x:v>
      </x:c>
      <x:c r="I376" s="50"/>
      <x:c r="J376" s="50"/>
      <x:c r="K376" s="50"/>
      <x:c r="L376" s="50"/>
      <x:c r="M376" s="50"/>
      <x:c r="N376" s="50"/>
      <x:c r="O376" s="50"/>
    </x:row>
    <x:row r="377">
      <x:c r="A377" s="50"/>
      <x:c r="B377" s="50"/>
      <x:c r="C377" s="50"/>
      <x:c r="D377" s="50"/>
      <x:c r="E377" s="66" t="n">
        <x:f>SUMIF(Sales!$C:$C,B377,Sales!$I:$I)</x:f>
        <x:v>0</x:v>
      </x:c>
      <x:c r="F377" s="66"/>
      <x:c r="G377" s="66" t="n">
        <x:f>E377-F377</x:f>
        <x:v>0</x:v>
      </x:c>
      <x:c r="H377" s="64" t="n">
        <x:f>IFERROR(MAXIFS(Sales!$B:$B,Sales!$C:$C,B377),"")</x:f>
        <x:v>0</x:v>
      </x:c>
      <x:c r="I377" s="50"/>
      <x:c r="J377" s="50"/>
      <x:c r="K377" s="50"/>
      <x:c r="L377" s="50"/>
      <x:c r="M377" s="50"/>
      <x:c r="N377" s="50"/>
      <x:c r="O377" s="50"/>
    </x:row>
    <x:row r="378">
      <x:c r="A378" s="50"/>
      <x:c r="B378" s="50"/>
      <x:c r="C378" s="50"/>
      <x:c r="D378" s="50"/>
      <x:c r="E378" s="66" t="n">
        <x:f>SUMIF(Sales!$C:$C,B378,Sales!$I:$I)</x:f>
        <x:v>0</x:v>
      </x:c>
      <x:c r="F378" s="66"/>
      <x:c r="G378" s="66" t="n">
        <x:f>E378-F378</x:f>
        <x:v>0</x:v>
      </x:c>
      <x:c r="H378" s="64" t="n">
        <x:f>IFERROR(MAXIFS(Sales!$B:$B,Sales!$C:$C,B378),"")</x:f>
        <x:v>0</x:v>
      </x:c>
      <x:c r="I378" s="50"/>
      <x:c r="J378" s="50"/>
      <x:c r="K378" s="50"/>
      <x:c r="L378" s="50"/>
      <x:c r="M378" s="50"/>
      <x:c r="N378" s="50"/>
      <x:c r="O378" s="50"/>
    </x:row>
    <x:row r="379">
      <x:c r="A379" s="50"/>
      <x:c r="B379" s="50"/>
      <x:c r="C379" s="50"/>
      <x:c r="D379" s="50"/>
      <x:c r="E379" s="66" t="n">
        <x:f>SUMIF(Sales!$C:$C,B379,Sales!$I:$I)</x:f>
        <x:v>0</x:v>
      </x:c>
      <x:c r="F379" s="66"/>
      <x:c r="G379" s="66" t="n">
        <x:f>E379-F379</x:f>
        <x:v>0</x:v>
      </x:c>
      <x:c r="H379" s="64" t="n">
        <x:f>IFERROR(MAXIFS(Sales!$B:$B,Sales!$C:$C,B379),"")</x:f>
        <x:v>0</x:v>
      </x:c>
      <x:c r="I379" s="50"/>
      <x:c r="J379" s="50"/>
      <x:c r="K379" s="50"/>
      <x:c r="L379" s="50"/>
      <x:c r="M379" s="50"/>
      <x:c r="N379" s="50"/>
      <x:c r="O379" s="50"/>
    </x:row>
    <x:row r="380">
      <x:c r="A380" s="50"/>
      <x:c r="B380" s="50"/>
      <x:c r="C380" s="50"/>
      <x:c r="D380" s="50"/>
      <x:c r="E380" s="66" t="n">
        <x:f>SUMIF(Sales!$C:$C,B380,Sales!$I:$I)</x:f>
        <x:v>0</x:v>
      </x:c>
      <x:c r="F380" s="66"/>
      <x:c r="G380" s="66" t="n">
        <x:f>E380-F380</x:f>
        <x:v>0</x:v>
      </x:c>
      <x:c r="H380" s="64" t="n">
        <x:f>IFERROR(MAXIFS(Sales!$B:$B,Sales!$C:$C,B380),"")</x:f>
        <x:v>0</x:v>
      </x:c>
      <x:c r="I380" s="50"/>
      <x:c r="J380" s="50"/>
      <x:c r="K380" s="50"/>
      <x:c r="L380" s="50"/>
      <x:c r="M380" s="50"/>
      <x:c r="N380" s="50"/>
      <x:c r="O380" s="50"/>
    </x:row>
    <x:row r="381">
      <x:c r="A381" s="50"/>
      <x:c r="B381" s="50"/>
      <x:c r="C381" s="50"/>
      <x:c r="D381" s="50"/>
      <x:c r="E381" s="66" t="n">
        <x:f>SUMIF(Sales!$C:$C,B381,Sales!$I:$I)</x:f>
        <x:v>0</x:v>
      </x:c>
      <x:c r="F381" s="66"/>
      <x:c r="G381" s="66" t="n">
        <x:f>E381-F381</x:f>
        <x:v>0</x:v>
      </x:c>
      <x:c r="H381" s="64" t="n">
        <x:f>IFERROR(MAXIFS(Sales!$B:$B,Sales!$C:$C,B381),"")</x:f>
        <x:v>0</x:v>
      </x:c>
      <x:c r="I381" s="50"/>
      <x:c r="J381" s="50"/>
      <x:c r="K381" s="50"/>
      <x:c r="L381" s="50"/>
      <x:c r="M381" s="50"/>
      <x:c r="N381" s="50"/>
      <x:c r="O381" s="50"/>
    </x:row>
    <x:row r="382">
      <x:c r="A382" s="50"/>
      <x:c r="B382" s="50"/>
      <x:c r="C382" s="50"/>
      <x:c r="D382" s="50"/>
      <x:c r="E382" s="66" t="n">
        <x:f>SUMIF(Sales!$C:$C,B382,Sales!$I:$I)</x:f>
        <x:v>0</x:v>
      </x:c>
      <x:c r="F382" s="66"/>
      <x:c r="G382" s="66" t="n">
        <x:f>E382-F382</x:f>
        <x:v>0</x:v>
      </x:c>
      <x:c r="H382" s="64" t="n">
        <x:f>IFERROR(MAXIFS(Sales!$B:$B,Sales!$C:$C,B382),"")</x:f>
        <x:v>0</x:v>
      </x:c>
      <x:c r="I382" s="50"/>
      <x:c r="J382" s="50"/>
      <x:c r="K382" s="50"/>
      <x:c r="L382" s="50"/>
      <x:c r="M382" s="50"/>
      <x:c r="N382" s="50"/>
      <x:c r="O382" s="50"/>
    </x:row>
    <x:row r="383">
      <x:c r="A383" s="50"/>
      <x:c r="B383" s="50"/>
      <x:c r="C383" s="50"/>
      <x:c r="D383" s="50"/>
      <x:c r="E383" s="66" t="n">
        <x:f>SUMIF(Sales!$C:$C,B383,Sales!$I:$I)</x:f>
        <x:v>0</x:v>
      </x:c>
      <x:c r="F383" s="66"/>
      <x:c r="G383" s="66" t="n">
        <x:f>E383-F383</x:f>
        <x:v>0</x:v>
      </x:c>
      <x:c r="H383" s="64" t="n">
        <x:f>IFERROR(MAXIFS(Sales!$B:$B,Sales!$C:$C,B383),"")</x:f>
        <x:v>0</x:v>
      </x:c>
      <x:c r="I383" s="50"/>
      <x:c r="J383" s="50"/>
      <x:c r="K383" s="50"/>
      <x:c r="L383" s="50"/>
      <x:c r="M383" s="50"/>
      <x:c r="N383" s="50"/>
      <x:c r="O383" s="50"/>
    </x:row>
    <x:row r="384">
      <x:c r="A384" s="50"/>
      <x:c r="B384" s="50"/>
      <x:c r="C384" s="50"/>
      <x:c r="D384" s="50"/>
      <x:c r="E384" s="66" t="n">
        <x:f>SUMIF(Sales!$C:$C,B384,Sales!$I:$I)</x:f>
        <x:v>0</x:v>
      </x:c>
      <x:c r="F384" s="66"/>
      <x:c r="G384" s="66" t="n">
        <x:f>E384-F384</x:f>
        <x:v>0</x:v>
      </x:c>
      <x:c r="H384" s="64" t="n">
        <x:f>IFERROR(MAXIFS(Sales!$B:$B,Sales!$C:$C,B384),"")</x:f>
        <x:v>0</x:v>
      </x:c>
      <x:c r="I384" s="50"/>
      <x:c r="J384" s="50"/>
      <x:c r="K384" s="50"/>
      <x:c r="L384" s="50"/>
      <x:c r="M384" s="50"/>
      <x:c r="N384" s="50"/>
      <x:c r="O384" s="50"/>
    </x:row>
    <x:row r="385">
      <x:c r="A385" s="50"/>
      <x:c r="B385" s="50"/>
      <x:c r="C385" s="50"/>
      <x:c r="D385" s="50"/>
      <x:c r="E385" s="66" t="n">
        <x:f>SUMIF(Sales!$C:$C,B385,Sales!$I:$I)</x:f>
        <x:v>0</x:v>
      </x:c>
      <x:c r="F385" s="66"/>
      <x:c r="G385" s="66" t="n">
        <x:f>E385-F385</x:f>
        <x:v>0</x:v>
      </x:c>
      <x:c r="H385" s="64" t="n">
        <x:f>IFERROR(MAXIFS(Sales!$B:$B,Sales!$C:$C,B385),"")</x:f>
        <x:v>0</x:v>
      </x:c>
      <x:c r="I385" s="50"/>
      <x:c r="J385" s="50"/>
      <x:c r="K385" s="50"/>
      <x:c r="L385" s="50"/>
      <x:c r="M385" s="50"/>
      <x:c r="N385" s="50"/>
      <x:c r="O385" s="50"/>
    </x:row>
    <x:row r="386">
      <x:c r="A386" s="50"/>
      <x:c r="B386" s="50"/>
      <x:c r="C386" s="50"/>
      <x:c r="D386" s="50"/>
      <x:c r="E386" s="66" t="n">
        <x:f>SUMIF(Sales!$C:$C,B386,Sales!$I:$I)</x:f>
        <x:v>0</x:v>
      </x:c>
      <x:c r="F386" s="66"/>
      <x:c r="G386" s="66" t="n">
        <x:f>E386-F386</x:f>
        <x:v>0</x:v>
      </x:c>
      <x:c r="H386" s="64" t="n">
        <x:f>IFERROR(MAXIFS(Sales!$B:$B,Sales!$C:$C,B386),"")</x:f>
        <x:v>0</x:v>
      </x:c>
      <x:c r="I386" s="50"/>
      <x:c r="J386" s="50"/>
      <x:c r="K386" s="50"/>
      <x:c r="L386" s="50"/>
      <x:c r="M386" s="50"/>
      <x:c r="N386" s="50"/>
      <x:c r="O386" s="50"/>
    </x:row>
    <x:row r="387">
      <x:c r="A387" s="50"/>
      <x:c r="B387" s="50"/>
      <x:c r="C387" s="50"/>
      <x:c r="D387" s="50"/>
      <x:c r="E387" s="66" t="n">
        <x:f>SUMIF(Sales!$C:$C,B387,Sales!$I:$I)</x:f>
        <x:v>0</x:v>
      </x:c>
      <x:c r="F387" s="66"/>
      <x:c r="G387" s="66" t="n">
        <x:f>E387-F387</x:f>
        <x:v>0</x:v>
      </x:c>
      <x:c r="H387" s="64" t="n">
        <x:f>IFERROR(MAXIFS(Sales!$B:$B,Sales!$C:$C,B387),"")</x:f>
        <x:v>0</x:v>
      </x:c>
      <x:c r="I387" s="50"/>
      <x:c r="J387" s="50"/>
      <x:c r="K387" s="50"/>
      <x:c r="L387" s="50"/>
      <x:c r="M387" s="50"/>
      <x:c r="N387" s="50"/>
      <x:c r="O387" s="50"/>
    </x:row>
    <x:row r="388">
      <x:c r="A388" s="50"/>
      <x:c r="B388" s="50"/>
      <x:c r="C388" s="50"/>
      <x:c r="D388" s="50"/>
      <x:c r="E388" s="66" t="n">
        <x:f>SUMIF(Sales!$C:$C,B388,Sales!$I:$I)</x:f>
        <x:v>0</x:v>
      </x:c>
      <x:c r="F388" s="66"/>
      <x:c r="G388" s="66" t="n">
        <x:f>E388-F388</x:f>
        <x:v>0</x:v>
      </x:c>
      <x:c r="H388" s="64" t="n">
        <x:f>IFERROR(MAXIFS(Sales!$B:$B,Sales!$C:$C,B388),"")</x:f>
        <x:v>0</x:v>
      </x:c>
      <x:c r="I388" s="50"/>
      <x:c r="J388" s="50"/>
      <x:c r="K388" s="50"/>
      <x:c r="L388" s="50"/>
      <x:c r="M388" s="50"/>
      <x:c r="N388" s="50"/>
      <x:c r="O388" s="50"/>
    </x:row>
    <x:row r="389">
      <x:c r="A389" s="50"/>
      <x:c r="B389" s="50"/>
      <x:c r="C389" s="50"/>
      <x:c r="D389" s="50"/>
      <x:c r="E389" s="66" t="n">
        <x:f>SUMIF(Sales!$C:$C,B389,Sales!$I:$I)</x:f>
        <x:v>0</x:v>
      </x:c>
      <x:c r="F389" s="66"/>
      <x:c r="G389" s="66" t="n">
        <x:f>E389-F389</x:f>
        <x:v>0</x:v>
      </x:c>
      <x:c r="H389" s="64" t="n">
        <x:f>IFERROR(MAXIFS(Sales!$B:$B,Sales!$C:$C,B389),"")</x:f>
        <x:v>0</x:v>
      </x:c>
      <x:c r="I389" s="50"/>
      <x:c r="J389" s="50"/>
      <x:c r="K389" s="50"/>
      <x:c r="L389" s="50"/>
      <x:c r="M389" s="50"/>
      <x:c r="N389" s="50"/>
      <x:c r="O389" s="50"/>
    </x:row>
    <x:row r="390">
      <x:c r="A390" s="50"/>
      <x:c r="B390" s="50"/>
      <x:c r="C390" s="50"/>
      <x:c r="D390" s="50"/>
      <x:c r="E390" s="66" t="n">
        <x:f>SUMIF(Sales!$C:$C,B390,Sales!$I:$I)</x:f>
        <x:v>0</x:v>
      </x:c>
      <x:c r="F390" s="66"/>
      <x:c r="G390" s="66" t="n">
        <x:f>E390-F390</x:f>
        <x:v>0</x:v>
      </x:c>
      <x:c r="H390" s="64" t="n">
        <x:f>IFERROR(MAXIFS(Sales!$B:$B,Sales!$C:$C,B390),"")</x:f>
        <x:v>0</x:v>
      </x:c>
      <x:c r="I390" s="50"/>
      <x:c r="J390" s="50"/>
      <x:c r="K390" s="50"/>
      <x:c r="L390" s="50"/>
      <x:c r="M390" s="50"/>
      <x:c r="N390" s="50"/>
      <x:c r="O390" s="50"/>
    </x:row>
    <x:row r="391">
      <x:c r="A391" s="50"/>
      <x:c r="B391" s="50"/>
      <x:c r="C391" s="50"/>
      <x:c r="D391" s="50"/>
      <x:c r="E391" s="66" t="n">
        <x:f>SUMIF(Sales!$C:$C,B391,Sales!$I:$I)</x:f>
        <x:v>0</x:v>
      </x:c>
      <x:c r="F391" s="66"/>
      <x:c r="G391" s="66" t="n">
        <x:f>E391-F391</x:f>
        <x:v>0</x:v>
      </x:c>
      <x:c r="H391" s="64" t="n">
        <x:f>IFERROR(MAXIFS(Sales!$B:$B,Sales!$C:$C,B391),"")</x:f>
        <x:v>0</x:v>
      </x:c>
      <x:c r="I391" s="50"/>
      <x:c r="J391" s="50"/>
      <x:c r="K391" s="50"/>
      <x:c r="L391" s="50"/>
      <x:c r="M391" s="50"/>
      <x:c r="N391" s="50"/>
      <x:c r="O391" s="50"/>
    </x:row>
    <x:row r="392">
      <x:c r="A392" s="50"/>
      <x:c r="B392" s="50"/>
      <x:c r="C392" s="50"/>
      <x:c r="D392" s="50"/>
      <x:c r="E392" s="66" t="n">
        <x:f>SUMIF(Sales!$C:$C,B392,Sales!$I:$I)</x:f>
        <x:v>0</x:v>
      </x:c>
      <x:c r="F392" s="66"/>
      <x:c r="G392" s="66" t="n">
        <x:f>E392-F392</x:f>
        <x:v>0</x:v>
      </x:c>
      <x:c r="H392" s="64" t="n">
        <x:f>IFERROR(MAXIFS(Sales!$B:$B,Sales!$C:$C,B392),"")</x:f>
        <x:v>0</x:v>
      </x:c>
      <x:c r="I392" s="50"/>
      <x:c r="J392" s="50"/>
      <x:c r="K392" s="50"/>
      <x:c r="L392" s="50"/>
      <x:c r="M392" s="50"/>
      <x:c r="N392" s="50"/>
      <x:c r="O392" s="50"/>
    </x:row>
    <x:row r="393">
      <x:c r="A393" s="50"/>
      <x:c r="B393" s="50"/>
      <x:c r="C393" s="50"/>
      <x:c r="D393" s="50"/>
      <x:c r="E393" s="66" t="n">
        <x:f>SUMIF(Sales!$C:$C,B393,Sales!$I:$I)</x:f>
        <x:v>0</x:v>
      </x:c>
      <x:c r="F393" s="66"/>
      <x:c r="G393" s="66" t="n">
        <x:f>E393-F393</x:f>
        <x:v>0</x:v>
      </x:c>
      <x:c r="H393" s="64" t="n">
        <x:f>IFERROR(MAXIFS(Sales!$B:$B,Sales!$C:$C,B393),"")</x:f>
        <x:v>0</x:v>
      </x:c>
      <x:c r="I393" s="50"/>
      <x:c r="J393" s="50"/>
      <x:c r="K393" s="50"/>
      <x:c r="L393" s="50"/>
      <x:c r="M393" s="50"/>
      <x:c r="N393" s="50"/>
      <x:c r="O393" s="50"/>
    </x:row>
    <x:row r="394">
      <x:c r="A394" s="50"/>
      <x:c r="B394" s="50"/>
      <x:c r="C394" s="50"/>
      <x:c r="D394" s="50"/>
      <x:c r="E394" s="66" t="n">
        <x:f>SUMIF(Sales!$C:$C,B394,Sales!$I:$I)</x:f>
        <x:v>0</x:v>
      </x:c>
      <x:c r="F394" s="66"/>
      <x:c r="G394" s="66" t="n">
        <x:f>E394-F394</x:f>
        <x:v>0</x:v>
      </x:c>
      <x:c r="H394" s="64" t="n">
        <x:f>IFERROR(MAXIFS(Sales!$B:$B,Sales!$C:$C,B394),"")</x:f>
        <x:v>0</x:v>
      </x:c>
      <x:c r="I394" s="50"/>
      <x:c r="J394" s="50"/>
      <x:c r="K394" s="50"/>
      <x:c r="L394" s="50"/>
      <x:c r="M394" s="50"/>
      <x:c r="N394" s="50"/>
      <x:c r="O394" s="50"/>
    </x:row>
    <x:row r="395">
      <x:c r="A395" s="50"/>
      <x:c r="B395" s="50"/>
      <x:c r="C395" s="50"/>
      <x:c r="D395" s="50"/>
      <x:c r="E395" s="66" t="n">
        <x:f>SUMIF(Sales!$C:$C,B395,Sales!$I:$I)</x:f>
        <x:v>0</x:v>
      </x:c>
      <x:c r="F395" s="66"/>
      <x:c r="G395" s="66" t="n">
        <x:f>E395-F395</x:f>
        <x:v>0</x:v>
      </x:c>
      <x:c r="H395" s="64" t="n">
        <x:f>IFERROR(MAXIFS(Sales!$B:$B,Sales!$C:$C,B395),"")</x:f>
        <x:v>0</x:v>
      </x:c>
      <x:c r="I395" s="50"/>
      <x:c r="J395" s="50"/>
      <x:c r="K395" s="50"/>
      <x:c r="L395" s="50"/>
      <x:c r="M395" s="50"/>
      <x:c r="N395" s="50"/>
      <x:c r="O395" s="50"/>
    </x:row>
    <x:row r="396">
      <x:c r="A396" s="50"/>
      <x:c r="B396" s="50"/>
      <x:c r="C396" s="50"/>
      <x:c r="D396" s="50"/>
      <x:c r="E396" s="66" t="n">
        <x:f>SUMIF(Sales!$C:$C,B396,Sales!$I:$I)</x:f>
        <x:v>0</x:v>
      </x:c>
      <x:c r="F396" s="66"/>
      <x:c r="G396" s="66" t="n">
        <x:f>E396-F396</x:f>
        <x:v>0</x:v>
      </x:c>
      <x:c r="H396" s="64" t="n">
        <x:f>IFERROR(MAXIFS(Sales!$B:$B,Sales!$C:$C,B396),"")</x:f>
        <x:v>0</x:v>
      </x:c>
      <x:c r="I396" s="50"/>
      <x:c r="J396" s="50"/>
      <x:c r="K396" s="50"/>
      <x:c r="L396" s="50"/>
      <x:c r="M396" s="50"/>
      <x:c r="N396" s="50"/>
      <x:c r="O396" s="50"/>
    </x:row>
    <x:row r="397">
      <x:c r="A397" s="50"/>
      <x:c r="B397" s="50"/>
      <x:c r="C397" s="50"/>
      <x:c r="D397" s="50"/>
      <x:c r="E397" s="66" t="n">
        <x:f>SUMIF(Sales!$C:$C,B397,Sales!$I:$I)</x:f>
        <x:v>0</x:v>
      </x:c>
      <x:c r="F397" s="66"/>
      <x:c r="G397" s="66" t="n">
        <x:f>E397-F397</x:f>
        <x:v>0</x:v>
      </x:c>
      <x:c r="H397" s="64" t="n">
        <x:f>IFERROR(MAXIFS(Sales!$B:$B,Sales!$C:$C,B397),"")</x:f>
        <x:v>0</x:v>
      </x:c>
      <x:c r="I397" s="50"/>
      <x:c r="J397" s="50"/>
      <x:c r="K397" s="50"/>
      <x:c r="L397" s="50"/>
      <x:c r="M397" s="50"/>
      <x:c r="N397" s="50"/>
      <x:c r="O397" s="50"/>
    </x:row>
    <x:row r="398">
      <x:c r="A398" s="50"/>
      <x:c r="B398" s="50"/>
      <x:c r="C398" s="50"/>
      <x:c r="D398" s="50"/>
      <x:c r="E398" s="66" t="n">
        <x:f>SUMIF(Sales!$C:$C,B398,Sales!$I:$I)</x:f>
        <x:v>0</x:v>
      </x:c>
      <x:c r="F398" s="66"/>
      <x:c r="G398" s="66" t="n">
        <x:f>E398-F398</x:f>
        <x:v>0</x:v>
      </x:c>
      <x:c r="H398" s="64" t="n">
        <x:f>IFERROR(MAXIFS(Sales!$B:$B,Sales!$C:$C,B398),"")</x:f>
        <x:v>0</x:v>
      </x:c>
      <x:c r="I398" s="50"/>
      <x:c r="J398" s="50"/>
      <x:c r="K398" s="50"/>
      <x:c r="L398" s="50"/>
      <x:c r="M398" s="50"/>
      <x:c r="N398" s="50"/>
      <x:c r="O398" s="50"/>
    </x:row>
    <x:row r="399">
      <x:c r="A399" s="50"/>
      <x:c r="B399" s="50"/>
      <x:c r="C399" s="50"/>
      <x:c r="D399" s="50"/>
      <x:c r="E399" s="66" t="n">
        <x:f>SUMIF(Sales!$C:$C,B399,Sales!$I:$I)</x:f>
        <x:v>0</x:v>
      </x:c>
      <x:c r="F399" s="66"/>
      <x:c r="G399" s="66" t="n">
        <x:f>E399-F399</x:f>
        <x:v>0</x:v>
      </x:c>
      <x:c r="H399" s="64" t="n">
        <x:f>IFERROR(MAXIFS(Sales!$B:$B,Sales!$C:$C,B399),"")</x:f>
        <x:v>0</x:v>
      </x:c>
      <x:c r="I399" s="50"/>
      <x:c r="J399" s="50"/>
      <x:c r="K399" s="50"/>
      <x:c r="L399" s="50"/>
      <x:c r="M399" s="50"/>
      <x:c r="N399" s="50"/>
      <x:c r="O399" s="50"/>
    </x:row>
    <x:row r="400">
      <x:c r="A400" s="50"/>
      <x:c r="B400" s="50"/>
      <x:c r="C400" s="50"/>
      <x:c r="D400" s="50"/>
      <x:c r="E400" s="66" t="n">
        <x:f>SUMIF(Sales!$C:$C,B400,Sales!$I:$I)</x:f>
        <x:v>0</x:v>
      </x:c>
      <x:c r="F400" s="66"/>
      <x:c r="G400" s="66" t="n">
        <x:f>E400-F400</x:f>
        <x:v>0</x:v>
      </x:c>
      <x:c r="H400" s="64" t="n">
        <x:f>IFERROR(MAXIFS(Sales!$B:$B,Sales!$C:$C,B400),"")</x:f>
        <x:v>0</x:v>
      </x:c>
      <x:c r="I400" s="50"/>
      <x:c r="J400" s="50"/>
      <x:c r="K400" s="50"/>
      <x:c r="L400" s="50"/>
      <x:c r="M400" s="50"/>
      <x:c r="N400" s="50"/>
      <x:c r="O400" s="50"/>
    </x:row>
    <x:row r="401">
      <x:c r="A401" s="50"/>
      <x:c r="B401" s="50"/>
      <x:c r="C401" s="50"/>
      <x:c r="D401" s="50"/>
      <x:c r="E401" s="66" t="n">
        <x:f>SUMIF(Sales!$C:$C,B401,Sales!$I:$I)</x:f>
        <x:v>0</x:v>
      </x:c>
      <x:c r="F401" s="66"/>
      <x:c r="G401" s="66" t="n">
        <x:f>E401-F401</x:f>
        <x:v>0</x:v>
      </x:c>
      <x:c r="H401" s="64" t="n">
        <x:f>IFERROR(MAXIFS(Sales!$B:$B,Sales!$C:$C,B401),"")</x:f>
        <x:v>0</x:v>
      </x:c>
      <x:c r="I401" s="50"/>
      <x:c r="J401" s="50"/>
      <x:c r="K401" s="50"/>
      <x:c r="L401" s="50"/>
      <x:c r="M401" s="50"/>
      <x:c r="N401" s="50"/>
      <x:c r="O401" s="50"/>
    </x:row>
    <x:row r="402">
      <x:c r="A402" s="50"/>
      <x:c r="B402" s="50"/>
      <x:c r="C402" s="50"/>
      <x:c r="D402" s="50"/>
      <x:c r="E402" s="66" t="n">
        <x:f>SUMIF(Sales!$C:$C,B402,Sales!$I:$I)</x:f>
        <x:v>0</x:v>
      </x:c>
      <x:c r="F402" s="66"/>
      <x:c r="G402" s="66" t="n">
        <x:f>E402-F402</x:f>
        <x:v>0</x:v>
      </x:c>
      <x:c r="H402" s="64" t="n">
        <x:f>IFERROR(MAXIFS(Sales!$B:$B,Sales!$C:$C,B402),"")</x:f>
        <x:v>0</x:v>
      </x:c>
      <x:c r="I402" s="50"/>
      <x:c r="J402" s="50"/>
      <x:c r="K402" s="50"/>
      <x:c r="L402" s="50"/>
      <x:c r="M402" s="50"/>
      <x:c r="N402" s="50"/>
      <x:c r="O402" s="50"/>
    </x:row>
    <x:row r="403">
      <x:c r="A403" s="50"/>
      <x:c r="B403" s="50"/>
      <x:c r="C403" s="50"/>
      <x:c r="D403" s="50"/>
      <x:c r="E403" s="66" t="n">
        <x:f>SUMIF(Sales!$C:$C,B403,Sales!$I:$I)</x:f>
        <x:v>0</x:v>
      </x:c>
      <x:c r="F403" s="66"/>
      <x:c r="G403" s="66" t="n">
        <x:f>E403-F403</x:f>
        <x:v>0</x:v>
      </x:c>
      <x:c r="H403" s="64" t="n">
        <x:f>IFERROR(MAXIFS(Sales!$B:$B,Sales!$C:$C,B403),"")</x:f>
        <x:v>0</x:v>
      </x:c>
      <x:c r="I403" s="50"/>
      <x:c r="J403" s="50"/>
      <x:c r="K403" s="50"/>
      <x:c r="L403" s="50"/>
      <x:c r="M403" s="50"/>
      <x:c r="N403" s="50"/>
      <x:c r="O403" s="50"/>
    </x:row>
    <x:row r="404">
      <x:c r="A404" s="50"/>
      <x:c r="B404" s="50"/>
      <x:c r="C404" s="50"/>
      <x:c r="D404" s="50"/>
      <x:c r="E404" s="66" t="n">
        <x:f>SUMIF(Sales!$C:$C,B404,Sales!$I:$I)</x:f>
        <x:v>0</x:v>
      </x:c>
      <x:c r="F404" s="66"/>
      <x:c r="G404" s="66" t="n">
        <x:f>E404-F404</x:f>
        <x:v>0</x:v>
      </x:c>
      <x:c r="H404" s="64" t="n">
        <x:f>IFERROR(MAXIFS(Sales!$B:$B,Sales!$C:$C,B404),"")</x:f>
        <x:v>0</x:v>
      </x:c>
      <x:c r="I404" s="50"/>
      <x:c r="J404" s="50"/>
      <x:c r="K404" s="50"/>
      <x:c r="L404" s="50"/>
      <x:c r="M404" s="50"/>
      <x:c r="N404" s="50"/>
      <x:c r="O404" s="50"/>
    </x:row>
    <x:row r="405">
      <x:c r="A405" s="50"/>
      <x:c r="B405" s="50"/>
      <x:c r="C405" s="50"/>
      <x:c r="D405" s="50"/>
      <x:c r="E405" s="66" t="n">
        <x:f>SUMIF(Sales!$C:$C,B405,Sales!$I:$I)</x:f>
        <x:v>0</x:v>
      </x:c>
      <x:c r="F405" s="66"/>
      <x:c r="G405" s="66" t="n">
        <x:f>E405-F405</x:f>
        <x:v>0</x:v>
      </x:c>
      <x:c r="H405" s="64" t="n">
        <x:f>IFERROR(MAXIFS(Sales!$B:$B,Sales!$C:$C,B405),"")</x:f>
        <x:v>0</x:v>
      </x:c>
      <x:c r="I405" s="50"/>
      <x:c r="J405" s="50"/>
      <x:c r="K405" s="50"/>
      <x:c r="L405" s="50"/>
      <x:c r="M405" s="50"/>
      <x:c r="N405" s="50"/>
      <x:c r="O405" s="50"/>
    </x:row>
    <x:row r="406">
      <x:c r="A406" s="50"/>
      <x:c r="B406" s="50"/>
      <x:c r="C406" s="50"/>
      <x:c r="D406" s="50"/>
      <x:c r="E406" s="66" t="n">
        <x:f>SUMIF(Sales!$C:$C,B406,Sales!$I:$I)</x:f>
        <x:v>0</x:v>
      </x:c>
      <x:c r="F406" s="66"/>
      <x:c r="G406" s="66" t="n">
        <x:f>E406-F406</x:f>
        <x:v>0</x:v>
      </x:c>
      <x:c r="H406" s="64" t="n">
        <x:f>IFERROR(MAXIFS(Sales!$B:$B,Sales!$C:$C,B406),"")</x:f>
        <x:v>0</x:v>
      </x:c>
      <x:c r="I406" s="50"/>
      <x:c r="J406" s="50"/>
      <x:c r="K406" s="50"/>
      <x:c r="L406" s="50"/>
      <x:c r="M406" s="50"/>
      <x:c r="N406" s="50"/>
      <x:c r="O406" s="50"/>
    </x:row>
    <x:row r="407">
      <x:c r="A407" s="50"/>
      <x:c r="B407" s="50"/>
      <x:c r="C407" s="50"/>
      <x:c r="D407" s="50"/>
      <x:c r="E407" s="66" t="n">
        <x:f>SUMIF(Sales!$C:$C,B407,Sales!$I:$I)</x:f>
        <x:v>0</x:v>
      </x:c>
      <x:c r="F407" s="66"/>
      <x:c r="G407" s="66" t="n">
        <x:f>E407-F407</x:f>
        <x:v>0</x:v>
      </x:c>
      <x:c r="H407" s="64" t="n">
        <x:f>IFERROR(MAXIFS(Sales!$B:$B,Sales!$C:$C,B407),"")</x:f>
        <x:v>0</x:v>
      </x:c>
      <x:c r="I407" s="50"/>
      <x:c r="J407" s="50"/>
      <x:c r="K407" s="50"/>
      <x:c r="L407" s="50"/>
      <x:c r="M407" s="50"/>
      <x:c r="N407" s="50"/>
      <x:c r="O407" s="50"/>
    </x:row>
    <x:row r="408">
      <x:c r="A408" s="50"/>
      <x:c r="B408" s="50"/>
      <x:c r="C408" s="50"/>
      <x:c r="D408" s="50"/>
      <x:c r="E408" s="66" t="n">
        <x:f>SUMIF(Sales!$C:$C,B408,Sales!$I:$I)</x:f>
        <x:v>0</x:v>
      </x:c>
      <x:c r="F408" s="66"/>
      <x:c r="G408" s="66" t="n">
        <x:f>E408-F408</x:f>
        <x:v>0</x:v>
      </x:c>
      <x:c r="H408" s="64" t="n">
        <x:f>IFERROR(MAXIFS(Sales!$B:$B,Sales!$C:$C,B408),"")</x:f>
        <x:v>0</x:v>
      </x:c>
      <x:c r="I408" s="50"/>
      <x:c r="J408" s="50"/>
      <x:c r="K408" s="50"/>
      <x:c r="L408" s="50"/>
      <x:c r="M408" s="50"/>
      <x:c r="N408" s="50"/>
      <x:c r="O408" s="50"/>
    </x:row>
    <x:row r="409">
      <x:c r="A409" s="50"/>
      <x:c r="B409" s="50"/>
      <x:c r="C409" s="50"/>
      <x:c r="D409" s="50"/>
      <x:c r="E409" s="66" t="n">
        <x:f>SUMIF(Sales!$C:$C,B409,Sales!$I:$I)</x:f>
        <x:v>0</x:v>
      </x:c>
      <x:c r="F409" s="66"/>
      <x:c r="G409" s="66" t="n">
        <x:f>E409-F409</x:f>
        <x:v>0</x:v>
      </x:c>
      <x:c r="H409" s="64" t="n">
        <x:f>IFERROR(MAXIFS(Sales!$B:$B,Sales!$C:$C,B409),"")</x:f>
        <x:v>0</x:v>
      </x:c>
      <x:c r="I409" s="50"/>
      <x:c r="J409" s="50"/>
      <x:c r="K409" s="50"/>
      <x:c r="L409" s="50"/>
      <x:c r="M409" s="50"/>
      <x:c r="N409" s="50"/>
      <x:c r="O409" s="50"/>
    </x:row>
    <x:row r="410">
      <x:c r="A410" s="50"/>
      <x:c r="B410" s="50"/>
      <x:c r="C410" s="50"/>
      <x:c r="D410" s="50"/>
      <x:c r="E410" s="66" t="n">
        <x:f>SUMIF(Sales!$C:$C,B410,Sales!$I:$I)</x:f>
        <x:v>0</x:v>
      </x:c>
      <x:c r="F410" s="66"/>
      <x:c r="G410" s="66" t="n">
        <x:f>E410-F410</x:f>
        <x:v>0</x:v>
      </x:c>
      <x:c r="H410" s="64" t="n">
        <x:f>IFERROR(MAXIFS(Sales!$B:$B,Sales!$C:$C,B410),"")</x:f>
        <x:v>0</x:v>
      </x:c>
      <x:c r="I410" s="50"/>
      <x:c r="J410" s="50"/>
      <x:c r="K410" s="50"/>
      <x:c r="L410" s="50"/>
      <x:c r="M410" s="50"/>
      <x:c r="N410" s="50"/>
      <x:c r="O410" s="50"/>
    </x:row>
    <x:row r="411">
      <x:c r="A411" s="50"/>
      <x:c r="B411" s="50"/>
      <x:c r="C411" s="50"/>
      <x:c r="D411" s="50"/>
      <x:c r="E411" s="66" t="n">
        <x:f>SUMIF(Sales!$C:$C,B411,Sales!$I:$I)</x:f>
        <x:v>0</x:v>
      </x:c>
      <x:c r="F411" s="66"/>
      <x:c r="G411" s="66" t="n">
        <x:f>E411-F411</x:f>
        <x:v>0</x:v>
      </x:c>
      <x:c r="H411" s="64" t="n">
        <x:f>IFERROR(MAXIFS(Sales!$B:$B,Sales!$C:$C,B411),"")</x:f>
        <x:v>0</x:v>
      </x:c>
      <x:c r="I411" s="50"/>
      <x:c r="J411" s="50"/>
      <x:c r="K411" s="50"/>
      <x:c r="L411" s="50"/>
      <x:c r="M411" s="50"/>
      <x:c r="N411" s="50"/>
      <x:c r="O411" s="50"/>
    </x:row>
    <x:row r="412">
      <x:c r="A412" s="50"/>
      <x:c r="B412" s="50"/>
      <x:c r="C412" s="50"/>
      <x:c r="D412" s="50"/>
      <x:c r="E412" s="66" t="n">
        <x:f>SUMIF(Sales!$C:$C,B412,Sales!$I:$I)</x:f>
        <x:v>0</x:v>
      </x:c>
      <x:c r="F412" s="66"/>
      <x:c r="G412" s="66" t="n">
        <x:f>E412-F412</x:f>
        <x:v>0</x:v>
      </x:c>
      <x:c r="H412" s="64" t="n">
        <x:f>IFERROR(MAXIFS(Sales!$B:$B,Sales!$C:$C,B412),"")</x:f>
        <x:v>0</x:v>
      </x:c>
      <x:c r="I412" s="50"/>
      <x:c r="J412" s="50"/>
      <x:c r="K412" s="50"/>
      <x:c r="L412" s="50"/>
      <x:c r="M412" s="50"/>
      <x:c r="N412" s="50"/>
      <x:c r="O412" s="50"/>
    </x:row>
    <x:row r="413">
      <x:c r="A413" s="50"/>
      <x:c r="B413" s="50"/>
      <x:c r="C413" s="50"/>
      <x:c r="D413" s="50"/>
      <x:c r="E413" s="66" t="n">
        <x:f>SUMIF(Sales!$C:$C,B413,Sales!$I:$I)</x:f>
        <x:v>0</x:v>
      </x:c>
      <x:c r="F413" s="66"/>
      <x:c r="G413" s="66" t="n">
        <x:f>E413-F413</x:f>
        <x:v>0</x:v>
      </x:c>
      <x:c r="H413" s="64" t="n">
        <x:f>IFERROR(MAXIFS(Sales!$B:$B,Sales!$C:$C,B413),"")</x:f>
        <x:v>0</x:v>
      </x:c>
      <x:c r="I413" s="50"/>
      <x:c r="J413" s="50"/>
      <x:c r="K413" s="50"/>
      <x:c r="L413" s="50"/>
      <x:c r="M413" s="50"/>
      <x:c r="N413" s="50"/>
      <x:c r="O413" s="50"/>
    </x:row>
    <x:row r="414">
      <x:c r="A414" s="50"/>
      <x:c r="B414" s="50"/>
      <x:c r="C414" s="50"/>
      <x:c r="D414" s="50"/>
      <x:c r="E414" s="66" t="n">
        <x:f>SUMIF(Sales!$C:$C,B414,Sales!$I:$I)</x:f>
        <x:v>0</x:v>
      </x:c>
      <x:c r="F414" s="66"/>
      <x:c r="G414" s="66" t="n">
        <x:f>E414-F414</x:f>
        <x:v>0</x:v>
      </x:c>
      <x:c r="H414" s="64" t="n">
        <x:f>IFERROR(MAXIFS(Sales!$B:$B,Sales!$C:$C,B414),"")</x:f>
        <x:v>0</x:v>
      </x:c>
      <x:c r="I414" s="50"/>
      <x:c r="J414" s="50"/>
      <x:c r="K414" s="50"/>
      <x:c r="L414" s="50"/>
      <x:c r="M414" s="50"/>
      <x:c r="N414" s="50"/>
      <x:c r="O414" s="50"/>
    </x:row>
    <x:row r="415">
      <x:c r="A415" s="50"/>
      <x:c r="B415" s="50"/>
      <x:c r="C415" s="50"/>
      <x:c r="D415" s="50"/>
      <x:c r="E415" s="66" t="n">
        <x:f>SUMIF(Sales!$C:$C,B415,Sales!$I:$I)</x:f>
        <x:v>0</x:v>
      </x:c>
      <x:c r="F415" s="66"/>
      <x:c r="G415" s="66" t="n">
        <x:f>E415-F415</x:f>
        <x:v>0</x:v>
      </x:c>
      <x:c r="H415" s="64" t="n">
        <x:f>IFERROR(MAXIFS(Sales!$B:$B,Sales!$C:$C,B415),"")</x:f>
        <x:v>0</x:v>
      </x:c>
      <x:c r="I415" s="50"/>
      <x:c r="J415" s="50"/>
      <x:c r="K415" s="50"/>
      <x:c r="L415" s="50"/>
      <x:c r="M415" s="50"/>
      <x:c r="N415" s="50"/>
      <x:c r="O415" s="50"/>
    </x:row>
    <x:row r="416">
      <x:c r="A416" s="50"/>
      <x:c r="B416" s="50"/>
      <x:c r="C416" s="50"/>
      <x:c r="D416" s="50"/>
      <x:c r="E416" s="66" t="n">
        <x:f>SUMIF(Sales!$C:$C,B416,Sales!$I:$I)</x:f>
        <x:v>0</x:v>
      </x:c>
      <x:c r="F416" s="66"/>
      <x:c r="G416" s="66" t="n">
        <x:f>E416-F416</x:f>
        <x:v>0</x:v>
      </x:c>
      <x:c r="H416" s="64" t="n">
        <x:f>IFERROR(MAXIFS(Sales!$B:$B,Sales!$C:$C,B416),"")</x:f>
        <x:v>0</x:v>
      </x:c>
      <x:c r="I416" s="50"/>
      <x:c r="J416" s="50"/>
      <x:c r="K416" s="50"/>
      <x:c r="L416" s="50"/>
      <x:c r="M416" s="50"/>
      <x:c r="N416" s="50"/>
      <x:c r="O416" s="50"/>
    </x:row>
    <x:row r="417">
      <x:c r="A417" s="50"/>
      <x:c r="B417" s="50"/>
      <x:c r="C417" s="50"/>
      <x:c r="D417" s="50"/>
      <x:c r="E417" s="66" t="n">
        <x:f>SUMIF(Sales!$C:$C,B417,Sales!$I:$I)</x:f>
        <x:v>0</x:v>
      </x:c>
      <x:c r="F417" s="66"/>
      <x:c r="G417" s="66" t="n">
        <x:f>E417-F417</x:f>
        <x:v>0</x:v>
      </x:c>
      <x:c r="H417" s="64" t="n">
        <x:f>IFERROR(MAXIFS(Sales!$B:$B,Sales!$C:$C,B417),"")</x:f>
        <x:v>0</x:v>
      </x:c>
      <x:c r="I417" s="50"/>
      <x:c r="J417" s="50"/>
      <x:c r="K417" s="50"/>
      <x:c r="L417" s="50"/>
      <x:c r="M417" s="50"/>
      <x:c r="N417" s="50"/>
      <x:c r="O417" s="50"/>
    </x:row>
    <x:row r="418">
      <x:c r="A418" s="50"/>
      <x:c r="B418" s="50"/>
      <x:c r="C418" s="50"/>
      <x:c r="D418" s="50"/>
      <x:c r="E418" s="66" t="n">
        <x:f>SUMIF(Sales!$C:$C,B418,Sales!$I:$I)</x:f>
        <x:v>0</x:v>
      </x:c>
      <x:c r="F418" s="66"/>
      <x:c r="G418" s="66" t="n">
        <x:f>E418-F418</x:f>
        <x:v>0</x:v>
      </x:c>
      <x:c r="H418" s="64" t="n">
        <x:f>IFERROR(MAXIFS(Sales!$B:$B,Sales!$C:$C,B418),"")</x:f>
        <x:v>0</x:v>
      </x:c>
      <x:c r="I418" s="50"/>
      <x:c r="J418" s="50"/>
      <x:c r="K418" s="50"/>
      <x:c r="L418" s="50"/>
      <x:c r="M418" s="50"/>
      <x:c r="N418" s="50"/>
      <x:c r="O418" s="50"/>
    </x:row>
    <x:row r="419">
      <x:c r="A419" s="50"/>
      <x:c r="B419" s="50"/>
      <x:c r="C419" s="50"/>
      <x:c r="D419" s="50"/>
      <x:c r="E419" s="66" t="n">
        <x:f>SUMIF(Sales!$C:$C,B419,Sales!$I:$I)</x:f>
        <x:v>0</x:v>
      </x:c>
      <x:c r="F419" s="66"/>
      <x:c r="G419" s="66" t="n">
        <x:f>E419-F419</x:f>
        <x:v>0</x:v>
      </x:c>
      <x:c r="H419" s="64" t="n">
        <x:f>IFERROR(MAXIFS(Sales!$B:$B,Sales!$C:$C,B419),"")</x:f>
        <x:v>0</x:v>
      </x:c>
      <x:c r="I419" s="50"/>
      <x:c r="J419" s="50"/>
      <x:c r="K419" s="50"/>
      <x:c r="L419" s="50"/>
      <x:c r="M419" s="50"/>
      <x:c r="N419" s="50"/>
      <x:c r="O419" s="50"/>
    </x:row>
    <x:row r="420">
      <x:c r="A420" s="50"/>
      <x:c r="B420" s="50"/>
      <x:c r="C420" s="50"/>
      <x:c r="D420" s="50"/>
      <x:c r="E420" s="66" t="n">
        <x:f>SUMIF(Sales!$C:$C,B420,Sales!$I:$I)</x:f>
        <x:v>0</x:v>
      </x:c>
      <x:c r="F420" s="66"/>
      <x:c r="G420" s="66" t="n">
        <x:f>E420-F420</x:f>
        <x:v>0</x:v>
      </x:c>
      <x:c r="H420" s="64" t="n">
        <x:f>IFERROR(MAXIFS(Sales!$B:$B,Sales!$C:$C,B420),"")</x:f>
        <x:v>0</x:v>
      </x:c>
      <x:c r="I420" s="50"/>
      <x:c r="J420" s="50"/>
      <x:c r="K420" s="50"/>
      <x:c r="L420" s="50"/>
      <x:c r="M420" s="50"/>
      <x:c r="N420" s="50"/>
      <x:c r="O420" s="50"/>
    </x:row>
    <x:row r="421">
      <x:c r="A421" s="50"/>
      <x:c r="B421" s="50"/>
      <x:c r="C421" s="50"/>
      <x:c r="D421" s="50"/>
      <x:c r="E421" s="66" t="n">
        <x:f>SUMIF(Sales!$C:$C,B421,Sales!$I:$I)</x:f>
        <x:v>0</x:v>
      </x:c>
      <x:c r="F421" s="66"/>
      <x:c r="G421" s="66" t="n">
        <x:f>E421-F421</x:f>
        <x:v>0</x:v>
      </x:c>
      <x:c r="H421" s="64" t="n">
        <x:f>IFERROR(MAXIFS(Sales!$B:$B,Sales!$C:$C,B421),"")</x:f>
        <x:v>0</x:v>
      </x:c>
      <x:c r="I421" s="50"/>
      <x:c r="J421" s="50"/>
      <x:c r="K421" s="50"/>
      <x:c r="L421" s="50"/>
      <x:c r="M421" s="50"/>
      <x:c r="N421" s="50"/>
      <x:c r="O421" s="50"/>
    </x:row>
    <x:row r="422">
      <x:c r="A422" s="50"/>
      <x:c r="B422" s="50"/>
      <x:c r="C422" s="50"/>
      <x:c r="D422" s="50"/>
      <x:c r="E422" s="66" t="n">
        <x:f>SUMIF(Sales!$C:$C,B422,Sales!$I:$I)</x:f>
        <x:v>0</x:v>
      </x:c>
      <x:c r="F422" s="66"/>
      <x:c r="G422" s="66" t="n">
        <x:f>E422-F422</x:f>
        <x:v>0</x:v>
      </x:c>
      <x:c r="H422" s="64" t="n">
        <x:f>IFERROR(MAXIFS(Sales!$B:$B,Sales!$C:$C,B422),"")</x:f>
        <x:v>0</x:v>
      </x:c>
      <x:c r="I422" s="50"/>
      <x:c r="J422" s="50"/>
      <x:c r="K422" s="50"/>
      <x:c r="L422" s="50"/>
      <x:c r="M422" s="50"/>
      <x:c r="N422" s="50"/>
      <x:c r="O422" s="50"/>
    </x:row>
    <x:row r="423">
      <x:c r="A423" s="50"/>
      <x:c r="B423" s="50"/>
      <x:c r="C423" s="50"/>
      <x:c r="D423" s="50"/>
      <x:c r="E423" s="66" t="n">
        <x:f>SUMIF(Sales!$C:$C,B423,Sales!$I:$I)</x:f>
        <x:v>0</x:v>
      </x:c>
      <x:c r="F423" s="66"/>
      <x:c r="G423" s="66" t="n">
        <x:f>E423-F423</x:f>
        <x:v>0</x:v>
      </x:c>
      <x:c r="H423" s="64" t="n">
        <x:f>IFERROR(MAXIFS(Sales!$B:$B,Sales!$C:$C,B423),"")</x:f>
        <x:v>0</x:v>
      </x:c>
      <x:c r="I423" s="50"/>
      <x:c r="J423" s="50"/>
      <x:c r="K423" s="50"/>
      <x:c r="L423" s="50"/>
      <x:c r="M423" s="50"/>
      <x:c r="N423" s="50"/>
      <x:c r="O423" s="50"/>
    </x:row>
    <x:row r="424">
      <x:c r="A424" s="50"/>
      <x:c r="B424" s="50"/>
      <x:c r="C424" s="50"/>
      <x:c r="D424" s="50"/>
      <x:c r="E424" s="66" t="n">
        <x:f>SUMIF(Sales!$C:$C,B424,Sales!$I:$I)</x:f>
        <x:v>0</x:v>
      </x:c>
      <x:c r="F424" s="66"/>
      <x:c r="G424" s="66" t="n">
        <x:f>E424-F424</x:f>
        <x:v>0</x:v>
      </x:c>
      <x:c r="H424" s="64" t="n">
        <x:f>IFERROR(MAXIFS(Sales!$B:$B,Sales!$C:$C,B424),"")</x:f>
        <x:v>0</x:v>
      </x:c>
      <x:c r="I424" s="50"/>
      <x:c r="J424" s="50"/>
      <x:c r="K424" s="50"/>
      <x:c r="L424" s="50"/>
      <x:c r="M424" s="50"/>
      <x:c r="N424" s="50"/>
      <x:c r="O424" s="50"/>
    </x:row>
    <x:row r="425">
      <x:c r="A425" s="50"/>
      <x:c r="B425" s="50"/>
      <x:c r="C425" s="50"/>
      <x:c r="D425" s="50"/>
      <x:c r="E425" s="66" t="n">
        <x:f>SUMIF(Sales!$C:$C,B425,Sales!$I:$I)</x:f>
        <x:v>0</x:v>
      </x:c>
      <x:c r="F425" s="66"/>
      <x:c r="G425" s="66" t="n">
        <x:f>E425-F425</x:f>
        <x:v>0</x:v>
      </x:c>
      <x:c r="H425" s="64" t="n">
        <x:f>IFERROR(MAXIFS(Sales!$B:$B,Sales!$C:$C,B425),"")</x:f>
        <x:v>0</x:v>
      </x:c>
      <x:c r="I425" s="50"/>
      <x:c r="J425" s="50"/>
      <x:c r="K425" s="50"/>
      <x:c r="L425" s="50"/>
      <x:c r="M425" s="50"/>
      <x:c r="N425" s="50"/>
      <x:c r="O425" s="50"/>
    </x:row>
    <x:row r="426">
      <x:c r="A426" s="50"/>
      <x:c r="B426" s="50"/>
      <x:c r="C426" s="50"/>
      <x:c r="D426" s="50"/>
      <x:c r="E426" s="66" t="n">
        <x:f>SUMIF(Sales!$C:$C,B426,Sales!$I:$I)</x:f>
        <x:v>0</x:v>
      </x:c>
      <x:c r="F426" s="66"/>
      <x:c r="G426" s="66" t="n">
        <x:f>E426-F426</x:f>
        <x:v>0</x:v>
      </x:c>
      <x:c r="H426" s="64" t="n">
        <x:f>IFERROR(MAXIFS(Sales!$B:$B,Sales!$C:$C,B426),"")</x:f>
        <x:v>0</x:v>
      </x:c>
      <x:c r="I426" s="50"/>
      <x:c r="J426" s="50"/>
      <x:c r="K426" s="50"/>
      <x:c r="L426" s="50"/>
      <x:c r="M426" s="50"/>
      <x:c r="N426" s="50"/>
      <x:c r="O426" s="50"/>
    </x:row>
    <x:row r="427">
      <x:c r="A427" s="50"/>
      <x:c r="B427" s="50"/>
      <x:c r="C427" s="50"/>
      <x:c r="D427" s="50"/>
      <x:c r="E427" s="66" t="n">
        <x:f>SUMIF(Sales!$C:$C,B427,Sales!$I:$I)</x:f>
        <x:v>0</x:v>
      </x:c>
      <x:c r="F427" s="66"/>
      <x:c r="G427" s="66" t="n">
        <x:f>E427-F427</x:f>
        <x:v>0</x:v>
      </x:c>
      <x:c r="H427" s="64" t="n">
        <x:f>IFERROR(MAXIFS(Sales!$B:$B,Sales!$C:$C,B427),"")</x:f>
        <x:v>0</x:v>
      </x:c>
      <x:c r="I427" s="50"/>
      <x:c r="J427" s="50"/>
      <x:c r="K427" s="50"/>
      <x:c r="L427" s="50"/>
      <x:c r="M427" s="50"/>
      <x:c r="N427" s="50"/>
      <x:c r="O427" s="50"/>
    </x:row>
    <x:row r="428">
      <x:c r="A428" s="50"/>
      <x:c r="B428" s="50"/>
      <x:c r="C428" s="50"/>
      <x:c r="D428" s="50"/>
      <x:c r="E428" s="66" t="n">
        <x:f>SUMIF(Sales!$C:$C,B428,Sales!$I:$I)</x:f>
        <x:v>0</x:v>
      </x:c>
      <x:c r="F428" s="66"/>
      <x:c r="G428" s="66" t="n">
        <x:f>E428-F428</x:f>
        <x:v>0</x:v>
      </x:c>
      <x:c r="H428" s="64" t="n">
        <x:f>IFERROR(MAXIFS(Sales!$B:$B,Sales!$C:$C,B428),"")</x:f>
        <x:v>0</x:v>
      </x:c>
      <x:c r="I428" s="50"/>
      <x:c r="J428" s="50"/>
      <x:c r="K428" s="50"/>
      <x:c r="L428" s="50"/>
      <x:c r="M428" s="50"/>
      <x:c r="N428" s="50"/>
      <x:c r="O428" s="50"/>
    </x:row>
    <x:row r="429">
      <x:c r="A429" s="50"/>
      <x:c r="B429" s="50"/>
      <x:c r="C429" s="50"/>
      <x:c r="D429" s="50"/>
      <x:c r="E429" s="66" t="n">
        <x:f>SUMIF(Sales!$C:$C,B429,Sales!$I:$I)</x:f>
        <x:v>0</x:v>
      </x:c>
      <x:c r="F429" s="66"/>
      <x:c r="G429" s="66" t="n">
        <x:f>E429-F429</x:f>
        <x:v>0</x:v>
      </x:c>
      <x:c r="H429" s="64" t="n">
        <x:f>IFERROR(MAXIFS(Sales!$B:$B,Sales!$C:$C,B429),"")</x:f>
        <x:v>0</x:v>
      </x:c>
      <x:c r="I429" s="50"/>
      <x:c r="J429" s="50"/>
      <x:c r="K429" s="50"/>
      <x:c r="L429" s="50"/>
      <x:c r="M429" s="50"/>
      <x:c r="N429" s="50"/>
      <x:c r="O429" s="50"/>
    </x:row>
    <x:row r="430">
      <x:c r="A430" s="50"/>
      <x:c r="B430" s="50"/>
      <x:c r="C430" s="50"/>
      <x:c r="D430" s="50"/>
      <x:c r="E430" s="66" t="n">
        <x:f>SUMIF(Sales!$C:$C,B430,Sales!$I:$I)</x:f>
        <x:v>0</x:v>
      </x:c>
      <x:c r="F430" s="66"/>
      <x:c r="G430" s="66" t="n">
        <x:f>E430-F430</x:f>
        <x:v>0</x:v>
      </x:c>
      <x:c r="H430" s="64" t="n">
        <x:f>IFERROR(MAXIFS(Sales!$B:$B,Sales!$C:$C,B430),"")</x:f>
        <x:v>0</x:v>
      </x:c>
      <x:c r="I430" s="50"/>
      <x:c r="J430" s="50"/>
      <x:c r="K430" s="50"/>
      <x:c r="L430" s="50"/>
      <x:c r="M430" s="50"/>
      <x:c r="N430" s="50"/>
      <x:c r="O430" s="50"/>
    </x:row>
    <x:row r="431">
      <x:c r="A431" s="50"/>
      <x:c r="B431" s="50"/>
      <x:c r="C431" s="50"/>
      <x:c r="D431" s="50"/>
      <x:c r="E431" s="66" t="n">
        <x:f>SUMIF(Sales!$C:$C,B431,Sales!$I:$I)</x:f>
        <x:v>0</x:v>
      </x:c>
      <x:c r="F431" s="66"/>
      <x:c r="G431" s="66" t="n">
        <x:f>E431-F431</x:f>
        <x:v>0</x:v>
      </x:c>
      <x:c r="H431" s="64" t="n">
        <x:f>IFERROR(MAXIFS(Sales!$B:$B,Sales!$C:$C,B431),"")</x:f>
        <x:v>0</x:v>
      </x:c>
      <x:c r="I431" s="50"/>
      <x:c r="J431" s="50"/>
      <x:c r="K431" s="50"/>
      <x:c r="L431" s="50"/>
      <x:c r="M431" s="50"/>
      <x:c r="N431" s="50"/>
      <x:c r="O431" s="50"/>
    </x:row>
    <x:row r="432">
      <x:c r="A432" s="50"/>
      <x:c r="B432" s="50"/>
      <x:c r="C432" s="50"/>
      <x:c r="D432" s="50"/>
      <x:c r="E432" s="66" t="n">
        <x:f>SUMIF(Sales!$C:$C,B432,Sales!$I:$I)</x:f>
        <x:v>0</x:v>
      </x:c>
      <x:c r="F432" s="66"/>
      <x:c r="G432" s="66" t="n">
        <x:f>E432-F432</x:f>
        <x:v>0</x:v>
      </x:c>
      <x:c r="H432" s="64" t="n">
        <x:f>IFERROR(MAXIFS(Sales!$B:$B,Sales!$C:$C,B432),"")</x:f>
        <x:v>0</x:v>
      </x:c>
      <x:c r="I432" s="50"/>
      <x:c r="J432" s="50"/>
      <x:c r="K432" s="50"/>
      <x:c r="L432" s="50"/>
      <x:c r="M432" s="50"/>
      <x:c r="N432" s="50"/>
      <x:c r="O432" s="50"/>
    </x:row>
    <x:row r="433">
      <x:c r="A433" s="50"/>
      <x:c r="B433" s="50"/>
      <x:c r="C433" s="50"/>
      <x:c r="D433" s="50"/>
      <x:c r="E433" s="66" t="n">
        <x:f>SUMIF(Sales!$C:$C,B433,Sales!$I:$I)</x:f>
        <x:v>0</x:v>
      </x:c>
      <x:c r="F433" s="66"/>
      <x:c r="G433" s="66" t="n">
        <x:f>E433-F433</x:f>
        <x:v>0</x:v>
      </x:c>
      <x:c r="H433" s="64" t="n">
        <x:f>IFERROR(MAXIFS(Sales!$B:$B,Sales!$C:$C,B433),"")</x:f>
        <x:v>0</x:v>
      </x:c>
      <x:c r="I433" s="50"/>
      <x:c r="J433" s="50"/>
      <x:c r="K433" s="50"/>
      <x:c r="L433" s="50"/>
      <x:c r="M433" s="50"/>
      <x:c r="N433" s="50"/>
      <x:c r="O433" s="50"/>
    </x:row>
    <x:row r="434">
      <x:c r="A434" s="50"/>
      <x:c r="B434" s="50"/>
      <x:c r="C434" s="50"/>
      <x:c r="D434" s="50"/>
      <x:c r="E434" s="66" t="n">
        <x:f>SUMIF(Sales!$C:$C,B434,Sales!$I:$I)</x:f>
        <x:v>0</x:v>
      </x:c>
      <x:c r="F434" s="66"/>
      <x:c r="G434" s="66" t="n">
        <x:f>E434-F434</x:f>
        <x:v>0</x:v>
      </x:c>
      <x:c r="H434" s="64" t="n">
        <x:f>IFERROR(MAXIFS(Sales!$B:$B,Sales!$C:$C,B434),"")</x:f>
        <x:v>0</x:v>
      </x:c>
      <x:c r="I434" s="50"/>
      <x:c r="J434" s="50"/>
      <x:c r="K434" s="50"/>
      <x:c r="L434" s="50"/>
      <x:c r="M434" s="50"/>
      <x:c r="N434" s="50"/>
      <x:c r="O434" s="50"/>
    </x:row>
    <x:row r="435">
      <x:c r="A435" s="50"/>
      <x:c r="B435" s="50"/>
      <x:c r="C435" s="50"/>
      <x:c r="D435" s="50"/>
      <x:c r="E435" s="66" t="n">
        <x:f>SUMIF(Sales!$C:$C,B435,Sales!$I:$I)</x:f>
        <x:v>0</x:v>
      </x:c>
      <x:c r="F435" s="66"/>
      <x:c r="G435" s="66" t="n">
        <x:f>E435-F435</x:f>
        <x:v>0</x:v>
      </x:c>
      <x:c r="H435" s="64" t="n">
        <x:f>IFERROR(MAXIFS(Sales!$B:$B,Sales!$C:$C,B435),"")</x:f>
        <x:v>0</x:v>
      </x:c>
      <x:c r="I435" s="50"/>
      <x:c r="J435" s="50"/>
      <x:c r="K435" s="50"/>
      <x:c r="L435" s="50"/>
      <x:c r="M435" s="50"/>
      <x:c r="N435" s="50"/>
      <x:c r="O435" s="50"/>
    </x:row>
    <x:row r="436">
      <x:c r="A436" s="50"/>
      <x:c r="B436" s="50"/>
      <x:c r="C436" s="50"/>
      <x:c r="D436" s="50"/>
      <x:c r="E436" s="66" t="n">
        <x:f>SUMIF(Sales!$C:$C,B436,Sales!$I:$I)</x:f>
        <x:v>0</x:v>
      </x:c>
      <x:c r="F436" s="66"/>
      <x:c r="G436" s="66" t="n">
        <x:f>E436-F436</x:f>
        <x:v>0</x:v>
      </x:c>
      <x:c r="H436" s="64" t="n">
        <x:f>IFERROR(MAXIFS(Sales!$B:$B,Sales!$C:$C,B436),"")</x:f>
        <x:v>0</x:v>
      </x:c>
      <x:c r="I436" s="50"/>
      <x:c r="J436" s="50"/>
      <x:c r="K436" s="50"/>
      <x:c r="L436" s="50"/>
      <x:c r="M436" s="50"/>
      <x:c r="N436" s="50"/>
      <x:c r="O436" s="50"/>
    </x:row>
    <x:row r="437">
      <x:c r="A437" s="50"/>
      <x:c r="B437" s="50"/>
      <x:c r="C437" s="50"/>
      <x:c r="D437" s="50"/>
      <x:c r="E437" s="66" t="n">
        <x:f>SUMIF(Sales!$C:$C,B437,Sales!$I:$I)</x:f>
        <x:v>0</x:v>
      </x:c>
      <x:c r="F437" s="66"/>
      <x:c r="G437" s="66" t="n">
        <x:f>E437-F437</x:f>
        <x:v>0</x:v>
      </x:c>
      <x:c r="H437" s="64" t="n">
        <x:f>IFERROR(MAXIFS(Sales!$B:$B,Sales!$C:$C,B437),"")</x:f>
        <x:v>0</x:v>
      </x:c>
      <x:c r="I437" s="50"/>
      <x:c r="J437" s="50"/>
      <x:c r="K437" s="50"/>
      <x:c r="L437" s="50"/>
      <x:c r="M437" s="50"/>
      <x:c r="N437" s="50"/>
      <x:c r="O437" s="50"/>
    </x:row>
    <x:row r="438">
      <x:c r="A438" s="50"/>
      <x:c r="B438" s="50"/>
      <x:c r="C438" s="50"/>
      <x:c r="D438" s="50"/>
      <x:c r="E438" s="66" t="n">
        <x:f>SUMIF(Sales!$C:$C,B438,Sales!$I:$I)</x:f>
        <x:v>0</x:v>
      </x:c>
      <x:c r="F438" s="66"/>
      <x:c r="G438" s="66" t="n">
        <x:f>E438-F438</x:f>
        <x:v>0</x:v>
      </x:c>
      <x:c r="H438" s="64" t="n">
        <x:f>IFERROR(MAXIFS(Sales!$B:$B,Sales!$C:$C,B438),"")</x:f>
        <x:v>0</x:v>
      </x:c>
      <x:c r="I438" s="50"/>
      <x:c r="J438" s="50"/>
      <x:c r="K438" s="50"/>
      <x:c r="L438" s="50"/>
      <x:c r="M438" s="50"/>
      <x:c r="N438" s="50"/>
      <x:c r="O438" s="50"/>
    </x:row>
    <x:row r="439">
      <x:c r="A439" s="50"/>
      <x:c r="B439" s="50"/>
      <x:c r="C439" s="50"/>
      <x:c r="D439" s="50"/>
      <x:c r="E439" s="66" t="n">
        <x:f>SUMIF(Sales!$C:$C,B439,Sales!$I:$I)</x:f>
        <x:v>0</x:v>
      </x:c>
      <x:c r="F439" s="66"/>
      <x:c r="G439" s="66" t="n">
        <x:f>E439-F439</x:f>
        <x:v>0</x:v>
      </x:c>
      <x:c r="H439" s="64" t="n">
        <x:f>IFERROR(MAXIFS(Sales!$B:$B,Sales!$C:$C,B439),"")</x:f>
        <x:v>0</x:v>
      </x:c>
      <x:c r="I439" s="50"/>
      <x:c r="J439" s="50"/>
      <x:c r="K439" s="50"/>
      <x:c r="L439" s="50"/>
      <x:c r="M439" s="50"/>
      <x:c r="N439" s="50"/>
      <x:c r="O439" s="50"/>
    </x:row>
    <x:row r="440">
      <x:c r="A440" s="50"/>
      <x:c r="B440" s="50"/>
      <x:c r="C440" s="50"/>
      <x:c r="D440" s="50"/>
      <x:c r="E440" s="66" t="n">
        <x:f>SUMIF(Sales!$C:$C,B440,Sales!$I:$I)</x:f>
        <x:v>0</x:v>
      </x:c>
      <x:c r="F440" s="66"/>
      <x:c r="G440" s="66" t="n">
        <x:f>E440-F440</x:f>
        <x:v>0</x:v>
      </x:c>
      <x:c r="H440" s="64" t="n">
        <x:f>IFERROR(MAXIFS(Sales!$B:$B,Sales!$C:$C,B440),"")</x:f>
        <x:v>0</x:v>
      </x:c>
      <x:c r="I440" s="50"/>
      <x:c r="J440" s="50"/>
      <x:c r="K440" s="50"/>
      <x:c r="L440" s="50"/>
      <x:c r="M440" s="50"/>
      <x:c r="N440" s="50"/>
      <x:c r="O440" s="50"/>
    </x:row>
    <x:row r="441">
      <x:c r="A441" s="50"/>
      <x:c r="B441" s="50"/>
      <x:c r="C441" s="50"/>
      <x:c r="D441" s="50"/>
      <x:c r="E441" s="66" t="n">
        <x:f>SUMIF(Sales!$C:$C,B441,Sales!$I:$I)</x:f>
        <x:v>0</x:v>
      </x:c>
      <x:c r="F441" s="66"/>
      <x:c r="G441" s="66" t="n">
        <x:f>E441-F441</x:f>
        <x:v>0</x:v>
      </x:c>
      <x:c r="H441" s="64" t="n">
        <x:f>IFERROR(MAXIFS(Sales!$B:$B,Sales!$C:$C,B441),"")</x:f>
        <x:v>0</x:v>
      </x:c>
      <x:c r="I441" s="50"/>
      <x:c r="J441" s="50"/>
      <x:c r="K441" s="50"/>
      <x:c r="L441" s="50"/>
      <x:c r="M441" s="50"/>
      <x:c r="N441" s="50"/>
      <x:c r="O441" s="50"/>
    </x:row>
    <x:row r="442">
      <x:c r="A442" s="50"/>
      <x:c r="B442" s="50"/>
      <x:c r="C442" s="50"/>
      <x:c r="D442" s="50"/>
      <x:c r="E442" s="66" t="n">
        <x:f>SUMIF(Sales!$C:$C,B442,Sales!$I:$I)</x:f>
        <x:v>0</x:v>
      </x:c>
      <x:c r="F442" s="66"/>
      <x:c r="G442" s="66" t="n">
        <x:f>E442-F442</x:f>
        <x:v>0</x:v>
      </x:c>
      <x:c r="H442" s="64" t="n">
        <x:f>IFERROR(MAXIFS(Sales!$B:$B,Sales!$C:$C,B442),"")</x:f>
        <x:v>0</x:v>
      </x:c>
      <x:c r="I442" s="50"/>
      <x:c r="J442" s="50"/>
      <x:c r="K442" s="50"/>
      <x:c r="L442" s="50"/>
      <x:c r="M442" s="50"/>
      <x:c r="N442" s="50"/>
      <x:c r="O442" s="50"/>
    </x:row>
    <x:row r="443">
      <x:c r="A443" s="50"/>
      <x:c r="B443" s="50"/>
      <x:c r="C443" s="50"/>
      <x:c r="D443" s="50"/>
      <x:c r="E443" s="66" t="n">
        <x:f>SUMIF(Sales!$C:$C,B443,Sales!$I:$I)</x:f>
        <x:v>0</x:v>
      </x:c>
      <x:c r="F443" s="66"/>
      <x:c r="G443" s="66" t="n">
        <x:f>E443-F443</x:f>
        <x:v>0</x:v>
      </x:c>
      <x:c r="H443" s="64" t="n">
        <x:f>IFERROR(MAXIFS(Sales!$B:$B,Sales!$C:$C,B443),"")</x:f>
        <x:v>0</x:v>
      </x:c>
      <x:c r="I443" s="50"/>
      <x:c r="J443" s="50"/>
      <x:c r="K443" s="50"/>
      <x:c r="L443" s="50"/>
      <x:c r="M443" s="50"/>
      <x:c r="N443" s="50"/>
      <x:c r="O443" s="50"/>
    </x:row>
    <x:row r="444">
      <x:c r="A444" s="50"/>
      <x:c r="B444" s="50"/>
      <x:c r="C444" s="50"/>
      <x:c r="D444" s="50"/>
      <x:c r="E444" s="66" t="n">
        <x:f>SUMIF(Sales!$C:$C,B444,Sales!$I:$I)</x:f>
        <x:v>0</x:v>
      </x:c>
      <x:c r="F444" s="66"/>
      <x:c r="G444" s="66" t="n">
        <x:f>E444-F444</x:f>
        <x:v>0</x:v>
      </x:c>
      <x:c r="H444" s="64" t="n">
        <x:f>IFERROR(MAXIFS(Sales!$B:$B,Sales!$C:$C,B444),"")</x:f>
        <x:v>0</x:v>
      </x:c>
      <x:c r="I444" s="50"/>
      <x:c r="J444" s="50"/>
      <x:c r="K444" s="50"/>
      <x:c r="L444" s="50"/>
      <x:c r="M444" s="50"/>
      <x:c r="N444" s="50"/>
      <x:c r="O444" s="50"/>
    </x:row>
    <x:row r="445">
      <x:c r="A445" s="50"/>
      <x:c r="B445" s="50"/>
      <x:c r="C445" s="50"/>
      <x:c r="D445" s="50"/>
      <x:c r="E445" s="66" t="n">
        <x:f>SUMIF(Sales!$C:$C,B445,Sales!$I:$I)</x:f>
        <x:v>0</x:v>
      </x:c>
      <x:c r="F445" s="66"/>
      <x:c r="G445" s="66" t="n">
        <x:f>E445-F445</x:f>
        <x:v>0</x:v>
      </x:c>
      <x:c r="H445" s="64" t="n">
        <x:f>IFERROR(MAXIFS(Sales!$B:$B,Sales!$C:$C,B445),"")</x:f>
        <x:v>0</x:v>
      </x:c>
      <x:c r="I445" s="50"/>
      <x:c r="J445" s="50"/>
      <x:c r="K445" s="50"/>
      <x:c r="L445" s="50"/>
      <x:c r="M445" s="50"/>
      <x:c r="N445" s="50"/>
      <x:c r="O445" s="50"/>
    </x:row>
    <x:row r="446">
      <x:c r="A446" s="50"/>
      <x:c r="B446" s="50"/>
      <x:c r="C446" s="50"/>
      <x:c r="D446" s="50"/>
      <x:c r="E446" s="66" t="n">
        <x:f>SUMIF(Sales!$C:$C,B446,Sales!$I:$I)</x:f>
        <x:v>0</x:v>
      </x:c>
      <x:c r="F446" s="66"/>
      <x:c r="G446" s="66" t="n">
        <x:f>E446-F446</x:f>
        <x:v>0</x:v>
      </x:c>
      <x:c r="H446" s="64" t="n">
        <x:f>IFERROR(MAXIFS(Sales!$B:$B,Sales!$C:$C,B446),"")</x:f>
        <x:v>0</x:v>
      </x:c>
      <x:c r="I446" s="50"/>
      <x:c r="J446" s="50"/>
      <x:c r="K446" s="50"/>
      <x:c r="L446" s="50"/>
      <x:c r="M446" s="50"/>
      <x:c r="N446" s="50"/>
      <x:c r="O446" s="50"/>
    </x:row>
    <x:row r="447">
      <x:c r="A447" s="50"/>
      <x:c r="B447" s="50"/>
      <x:c r="C447" s="50"/>
      <x:c r="D447" s="50"/>
      <x:c r="E447" s="66" t="n">
        <x:f>SUMIF(Sales!$C:$C,B447,Sales!$I:$I)</x:f>
        <x:v>0</x:v>
      </x:c>
      <x:c r="F447" s="66"/>
      <x:c r="G447" s="66" t="n">
        <x:f>E447-F447</x:f>
        <x:v>0</x:v>
      </x:c>
      <x:c r="H447" s="64" t="n">
        <x:f>IFERROR(MAXIFS(Sales!$B:$B,Sales!$C:$C,B447),"")</x:f>
        <x:v>0</x:v>
      </x:c>
      <x:c r="I447" s="50"/>
      <x:c r="J447" s="50"/>
      <x:c r="K447" s="50"/>
      <x:c r="L447" s="50"/>
      <x:c r="M447" s="50"/>
      <x:c r="N447" s="50"/>
      <x:c r="O447" s="50"/>
    </x:row>
    <x:row r="448">
      <x:c r="A448" s="50"/>
      <x:c r="B448" s="50"/>
      <x:c r="C448" s="50"/>
      <x:c r="D448" s="50"/>
      <x:c r="E448" s="66" t="n">
        <x:f>SUMIF(Sales!$C:$C,B448,Sales!$I:$I)</x:f>
        <x:v>0</x:v>
      </x:c>
      <x:c r="F448" s="66"/>
      <x:c r="G448" s="66" t="n">
        <x:f>E448-F448</x:f>
        <x:v>0</x:v>
      </x:c>
      <x:c r="H448" s="64" t="n">
        <x:f>IFERROR(MAXIFS(Sales!$B:$B,Sales!$C:$C,B448),"")</x:f>
        <x:v>0</x:v>
      </x:c>
      <x:c r="I448" s="50"/>
      <x:c r="J448" s="50"/>
      <x:c r="K448" s="50"/>
      <x:c r="L448" s="50"/>
      <x:c r="M448" s="50"/>
      <x:c r="N448" s="50"/>
      <x:c r="O448" s="50"/>
    </x:row>
    <x:row r="449">
      <x:c r="A449" s="50"/>
      <x:c r="B449" s="50"/>
      <x:c r="C449" s="50"/>
      <x:c r="D449" s="50"/>
      <x:c r="E449" s="66" t="n">
        <x:f>SUMIF(Sales!$C:$C,B449,Sales!$I:$I)</x:f>
        <x:v>0</x:v>
      </x:c>
      <x:c r="F449" s="66"/>
      <x:c r="G449" s="66" t="n">
        <x:f>E449-F449</x:f>
        <x:v>0</x:v>
      </x:c>
      <x:c r="H449" s="64" t="n">
        <x:f>IFERROR(MAXIFS(Sales!$B:$B,Sales!$C:$C,B449),"")</x:f>
        <x:v>0</x:v>
      </x:c>
      <x:c r="I449" s="50"/>
      <x:c r="J449" s="50"/>
      <x:c r="K449" s="50"/>
      <x:c r="L449" s="50"/>
      <x:c r="M449" s="50"/>
      <x:c r="N449" s="50"/>
      <x:c r="O449" s="50"/>
    </x:row>
    <x:row r="450">
      <x:c r="A450" s="50"/>
      <x:c r="B450" s="50"/>
      <x:c r="C450" s="50"/>
      <x:c r="D450" s="50"/>
      <x:c r="E450" s="66" t="n">
        <x:f>SUMIF(Sales!$C:$C,B450,Sales!$I:$I)</x:f>
        <x:v>0</x:v>
      </x:c>
      <x:c r="F450" s="66"/>
      <x:c r="G450" s="66" t="n">
        <x:f>E450-F450</x:f>
        <x:v>0</x:v>
      </x:c>
      <x:c r="H450" s="64" t="n">
        <x:f>IFERROR(MAXIFS(Sales!$B:$B,Sales!$C:$C,B450),"")</x:f>
        <x:v>0</x:v>
      </x:c>
      <x:c r="I450" s="50"/>
      <x:c r="J450" s="50"/>
      <x:c r="K450" s="50"/>
      <x:c r="L450" s="50"/>
      <x:c r="M450" s="50"/>
      <x:c r="N450" s="50"/>
      <x:c r="O450" s="50"/>
    </x:row>
    <x:row r="451">
      <x:c r="A451" s="50"/>
      <x:c r="B451" s="50"/>
      <x:c r="C451" s="50"/>
      <x:c r="D451" s="50"/>
      <x:c r="E451" s="66" t="n">
        <x:f>SUMIF(Sales!$C:$C,B451,Sales!$I:$I)</x:f>
        <x:v>0</x:v>
      </x:c>
      <x:c r="F451" s="66"/>
      <x:c r="G451" s="66" t="n">
        <x:f>E451-F451</x:f>
        <x:v>0</x:v>
      </x:c>
      <x:c r="H451" s="64" t="n">
        <x:f>IFERROR(MAXIFS(Sales!$B:$B,Sales!$C:$C,B451),"")</x:f>
        <x:v>0</x:v>
      </x:c>
      <x:c r="I451" s="50"/>
      <x:c r="J451" s="50"/>
      <x:c r="K451" s="50"/>
      <x:c r="L451" s="50"/>
      <x:c r="M451" s="50"/>
      <x:c r="N451" s="50"/>
      <x:c r="O451" s="50"/>
    </x:row>
    <x:row r="452">
      <x:c r="A452" s="50"/>
      <x:c r="B452" s="50"/>
      <x:c r="C452" s="50"/>
      <x:c r="D452" s="50"/>
      <x:c r="E452" s="66" t="n">
        <x:f>SUMIF(Sales!$C:$C,B452,Sales!$I:$I)</x:f>
        <x:v>0</x:v>
      </x:c>
      <x:c r="F452" s="66"/>
      <x:c r="G452" s="66" t="n">
        <x:f>E452-F452</x:f>
        <x:v>0</x:v>
      </x:c>
      <x:c r="H452" s="64" t="n">
        <x:f>IFERROR(MAXIFS(Sales!$B:$B,Sales!$C:$C,B452),"")</x:f>
        <x:v>0</x:v>
      </x:c>
      <x:c r="I452" s="50"/>
      <x:c r="J452" s="50"/>
      <x:c r="K452" s="50"/>
      <x:c r="L452" s="50"/>
      <x:c r="M452" s="50"/>
      <x:c r="N452" s="50"/>
      <x:c r="O452" s="50"/>
    </x:row>
    <x:row r="453">
      <x:c r="A453" s="50"/>
      <x:c r="B453" s="50"/>
      <x:c r="C453" s="50"/>
      <x:c r="D453" s="50"/>
      <x:c r="E453" s="66" t="n">
        <x:f>SUMIF(Sales!$C:$C,B453,Sales!$I:$I)</x:f>
        <x:v>0</x:v>
      </x:c>
      <x:c r="F453" s="66"/>
      <x:c r="G453" s="66" t="n">
        <x:f>E453-F453</x:f>
        <x:v>0</x:v>
      </x:c>
      <x:c r="H453" s="64" t="n">
        <x:f>IFERROR(MAXIFS(Sales!$B:$B,Sales!$C:$C,B453),"")</x:f>
        <x:v>0</x:v>
      </x:c>
      <x:c r="I453" s="50"/>
      <x:c r="J453" s="50"/>
      <x:c r="K453" s="50"/>
      <x:c r="L453" s="50"/>
      <x:c r="M453" s="50"/>
      <x:c r="N453" s="50"/>
      <x:c r="O453" s="50"/>
    </x:row>
    <x:row r="454">
      <x:c r="A454" s="50"/>
      <x:c r="B454" s="50"/>
      <x:c r="C454" s="50"/>
      <x:c r="D454" s="50"/>
      <x:c r="E454" s="66" t="n">
        <x:f>SUMIF(Sales!$C:$C,B454,Sales!$I:$I)</x:f>
        <x:v>0</x:v>
      </x:c>
      <x:c r="F454" s="66"/>
      <x:c r="G454" s="66" t="n">
        <x:f>E454-F454</x:f>
        <x:v>0</x:v>
      </x:c>
      <x:c r="H454" s="64" t="n">
        <x:f>IFERROR(MAXIFS(Sales!$B:$B,Sales!$C:$C,B454),"")</x:f>
        <x:v>0</x:v>
      </x:c>
      <x:c r="I454" s="50"/>
      <x:c r="J454" s="50"/>
      <x:c r="K454" s="50"/>
      <x:c r="L454" s="50"/>
      <x:c r="M454" s="50"/>
      <x:c r="N454" s="50"/>
      <x:c r="O454" s="50"/>
    </x:row>
    <x:row r="455">
      <x:c r="A455" s="50"/>
      <x:c r="B455" s="50"/>
      <x:c r="C455" s="50"/>
      <x:c r="D455" s="50"/>
      <x:c r="E455" s="66" t="n">
        <x:f>SUMIF(Sales!$C:$C,B455,Sales!$I:$I)</x:f>
        <x:v>0</x:v>
      </x:c>
      <x:c r="F455" s="66"/>
      <x:c r="G455" s="66" t="n">
        <x:f>E455-F455</x:f>
        <x:v>0</x:v>
      </x:c>
      <x:c r="H455" s="64" t="n">
        <x:f>IFERROR(MAXIFS(Sales!$B:$B,Sales!$C:$C,B455),"")</x:f>
        <x:v>0</x:v>
      </x:c>
      <x:c r="I455" s="50"/>
      <x:c r="J455" s="50"/>
      <x:c r="K455" s="50"/>
      <x:c r="L455" s="50"/>
      <x:c r="M455" s="50"/>
      <x:c r="N455" s="50"/>
      <x:c r="O455" s="50"/>
    </x:row>
    <x:row r="456">
      <x:c r="A456" s="50"/>
      <x:c r="B456" s="50"/>
      <x:c r="C456" s="50"/>
      <x:c r="D456" s="50"/>
      <x:c r="E456" s="66" t="n">
        <x:f>SUMIF(Sales!$C:$C,B456,Sales!$I:$I)</x:f>
        <x:v>0</x:v>
      </x:c>
      <x:c r="F456" s="66"/>
      <x:c r="G456" s="66" t="n">
        <x:f>E456-F456</x:f>
        <x:v>0</x:v>
      </x:c>
      <x:c r="H456" s="64" t="n">
        <x:f>IFERROR(MAXIFS(Sales!$B:$B,Sales!$C:$C,B456),"")</x:f>
        <x:v>0</x:v>
      </x:c>
      <x:c r="I456" s="50"/>
      <x:c r="J456" s="50"/>
      <x:c r="K456" s="50"/>
      <x:c r="L456" s="50"/>
      <x:c r="M456" s="50"/>
      <x:c r="N456" s="50"/>
      <x:c r="O456" s="50"/>
    </x:row>
    <x:row r="457">
      <x:c r="A457" s="50"/>
      <x:c r="B457" s="50"/>
      <x:c r="C457" s="50"/>
      <x:c r="D457" s="50"/>
      <x:c r="E457" s="66" t="n">
        <x:f>SUMIF(Sales!$C:$C,B457,Sales!$I:$I)</x:f>
        <x:v>0</x:v>
      </x:c>
      <x:c r="F457" s="66"/>
      <x:c r="G457" s="66" t="n">
        <x:f>E457-F457</x:f>
        <x:v>0</x:v>
      </x:c>
      <x:c r="H457" s="64" t="n">
        <x:f>IFERROR(MAXIFS(Sales!$B:$B,Sales!$C:$C,B457),"")</x:f>
        <x:v>0</x:v>
      </x:c>
      <x:c r="I457" s="50"/>
      <x:c r="J457" s="50"/>
      <x:c r="K457" s="50"/>
      <x:c r="L457" s="50"/>
      <x:c r="M457" s="50"/>
      <x:c r="N457" s="50"/>
      <x:c r="O457" s="50"/>
    </x:row>
    <x:row r="458">
      <x:c r="A458" s="50"/>
      <x:c r="B458" s="50"/>
      <x:c r="C458" s="50"/>
      <x:c r="D458" s="50"/>
      <x:c r="E458" s="66" t="n">
        <x:f>SUMIF(Sales!$C:$C,B458,Sales!$I:$I)</x:f>
        <x:v>0</x:v>
      </x:c>
      <x:c r="F458" s="66"/>
      <x:c r="G458" s="66" t="n">
        <x:f>E458-F458</x:f>
        <x:v>0</x:v>
      </x:c>
      <x:c r="H458" s="64" t="n">
        <x:f>IFERROR(MAXIFS(Sales!$B:$B,Sales!$C:$C,B458),"")</x:f>
        <x:v>0</x:v>
      </x:c>
      <x:c r="I458" s="50"/>
      <x:c r="J458" s="50"/>
      <x:c r="K458" s="50"/>
      <x:c r="L458" s="50"/>
      <x:c r="M458" s="50"/>
      <x:c r="N458" s="50"/>
      <x:c r="O458" s="50"/>
    </x:row>
    <x:row r="459">
      <x:c r="A459" s="50"/>
      <x:c r="B459" s="50"/>
      <x:c r="C459" s="50"/>
      <x:c r="D459" s="50"/>
      <x:c r="E459" s="66" t="n">
        <x:f>SUMIF(Sales!$C:$C,B459,Sales!$I:$I)</x:f>
        <x:v>0</x:v>
      </x:c>
      <x:c r="F459" s="66"/>
      <x:c r="G459" s="66" t="n">
        <x:f>E459-F459</x:f>
        <x:v>0</x:v>
      </x:c>
      <x:c r="H459" s="64" t="n">
        <x:f>IFERROR(MAXIFS(Sales!$B:$B,Sales!$C:$C,B459),"")</x:f>
        <x:v>0</x:v>
      </x:c>
      <x:c r="I459" s="50"/>
      <x:c r="J459" s="50"/>
      <x:c r="K459" s="50"/>
      <x:c r="L459" s="50"/>
      <x:c r="M459" s="50"/>
      <x:c r="N459" s="50"/>
      <x:c r="O459" s="50"/>
    </x:row>
    <x:row r="460">
      <x:c r="A460" s="50"/>
      <x:c r="B460" s="50"/>
      <x:c r="C460" s="50"/>
      <x:c r="D460" s="50"/>
      <x:c r="E460" s="66" t="n">
        <x:f>SUMIF(Sales!$C:$C,B460,Sales!$I:$I)</x:f>
        <x:v>0</x:v>
      </x:c>
      <x:c r="F460" s="66"/>
      <x:c r="G460" s="66" t="n">
        <x:f>E460-F460</x:f>
        <x:v>0</x:v>
      </x:c>
      <x:c r="H460" s="64" t="n">
        <x:f>IFERROR(MAXIFS(Sales!$B:$B,Sales!$C:$C,B460),"")</x:f>
        <x:v>0</x:v>
      </x:c>
      <x:c r="I460" s="50"/>
      <x:c r="J460" s="50"/>
      <x:c r="K460" s="50"/>
      <x:c r="L460" s="50"/>
      <x:c r="M460" s="50"/>
      <x:c r="N460" s="50"/>
      <x:c r="O460" s="50"/>
    </x:row>
    <x:row r="461">
      <x:c r="A461" s="50"/>
      <x:c r="B461" s="50"/>
      <x:c r="C461" s="50"/>
      <x:c r="D461" s="50"/>
      <x:c r="E461" s="66" t="n">
        <x:f>SUMIF(Sales!$C:$C,B461,Sales!$I:$I)</x:f>
        <x:v>0</x:v>
      </x:c>
      <x:c r="F461" s="66"/>
      <x:c r="G461" s="66" t="n">
        <x:f>E461-F461</x:f>
        <x:v>0</x:v>
      </x:c>
      <x:c r="H461" s="64" t="n">
        <x:f>IFERROR(MAXIFS(Sales!$B:$B,Sales!$C:$C,B461),"")</x:f>
        <x:v>0</x:v>
      </x:c>
      <x:c r="I461" s="50"/>
      <x:c r="J461" s="50"/>
      <x:c r="K461" s="50"/>
      <x:c r="L461" s="50"/>
      <x:c r="M461" s="50"/>
      <x:c r="N461" s="50"/>
      <x:c r="O461" s="50"/>
    </x:row>
    <x:row r="462">
      <x:c r="A462" s="50"/>
      <x:c r="B462" s="50"/>
      <x:c r="C462" s="50"/>
      <x:c r="D462" s="50"/>
      <x:c r="E462" s="66" t="n">
        <x:f>SUMIF(Sales!$C:$C,B462,Sales!$I:$I)</x:f>
        <x:v>0</x:v>
      </x:c>
      <x:c r="F462" s="66"/>
      <x:c r="G462" s="66" t="n">
        <x:f>E462-F462</x:f>
        <x:v>0</x:v>
      </x:c>
      <x:c r="H462" s="64" t="n">
        <x:f>IFERROR(MAXIFS(Sales!$B:$B,Sales!$C:$C,B462),"")</x:f>
        <x:v>0</x:v>
      </x:c>
      <x:c r="I462" s="50"/>
      <x:c r="J462" s="50"/>
      <x:c r="K462" s="50"/>
      <x:c r="L462" s="50"/>
      <x:c r="M462" s="50"/>
      <x:c r="N462" s="50"/>
      <x:c r="O462" s="50"/>
    </x:row>
    <x:row r="463">
      <x:c r="A463" s="50"/>
      <x:c r="B463" s="50"/>
      <x:c r="C463" s="50"/>
      <x:c r="D463" s="50"/>
      <x:c r="E463" s="66" t="n">
        <x:f>SUMIF(Sales!$C:$C,B463,Sales!$I:$I)</x:f>
        <x:v>0</x:v>
      </x:c>
      <x:c r="F463" s="66"/>
      <x:c r="G463" s="66" t="n">
        <x:f>E463-F463</x:f>
        <x:v>0</x:v>
      </x:c>
      <x:c r="H463" s="64" t="n">
        <x:f>IFERROR(MAXIFS(Sales!$B:$B,Sales!$C:$C,B463),"")</x:f>
        <x:v>0</x:v>
      </x:c>
      <x:c r="I463" s="50"/>
      <x:c r="J463" s="50"/>
      <x:c r="K463" s="50"/>
      <x:c r="L463" s="50"/>
      <x:c r="M463" s="50"/>
      <x:c r="N463" s="50"/>
      <x:c r="O463" s="50"/>
    </x:row>
    <x:row r="464">
      <x:c r="A464" s="50"/>
      <x:c r="B464" s="50"/>
      <x:c r="C464" s="50"/>
      <x:c r="D464" s="50"/>
      <x:c r="E464" s="66" t="n">
        <x:f>SUMIF(Sales!$C:$C,B464,Sales!$I:$I)</x:f>
        <x:v>0</x:v>
      </x:c>
      <x:c r="F464" s="66"/>
      <x:c r="G464" s="66" t="n">
        <x:f>E464-F464</x:f>
        <x:v>0</x:v>
      </x:c>
      <x:c r="H464" s="64" t="n">
        <x:f>IFERROR(MAXIFS(Sales!$B:$B,Sales!$C:$C,B464),"")</x:f>
        <x:v>0</x:v>
      </x:c>
      <x:c r="I464" s="50"/>
      <x:c r="J464" s="50"/>
      <x:c r="K464" s="50"/>
      <x:c r="L464" s="50"/>
      <x:c r="M464" s="50"/>
      <x:c r="N464" s="50"/>
      <x:c r="O464" s="50"/>
    </x:row>
    <x:row r="465">
      <x:c r="A465" s="50"/>
      <x:c r="B465" s="50"/>
      <x:c r="C465" s="50"/>
      <x:c r="D465" s="50"/>
      <x:c r="E465" s="66" t="n">
        <x:f>SUMIF(Sales!$C:$C,B465,Sales!$I:$I)</x:f>
        <x:v>0</x:v>
      </x:c>
      <x:c r="F465" s="66"/>
      <x:c r="G465" s="66" t="n">
        <x:f>E465-F465</x:f>
        <x:v>0</x:v>
      </x:c>
      <x:c r="H465" s="64" t="n">
        <x:f>IFERROR(MAXIFS(Sales!$B:$B,Sales!$C:$C,B465),"")</x:f>
        <x:v>0</x:v>
      </x:c>
      <x:c r="I465" s="50"/>
      <x:c r="J465" s="50"/>
      <x:c r="K465" s="50"/>
      <x:c r="L465" s="50"/>
      <x:c r="M465" s="50"/>
      <x:c r="N465" s="50"/>
      <x:c r="O465" s="50"/>
    </x:row>
    <x:row r="466">
      <x:c r="A466" s="50"/>
      <x:c r="B466" s="50"/>
      <x:c r="C466" s="50"/>
      <x:c r="D466" s="50"/>
      <x:c r="E466" s="66" t="n">
        <x:f>SUMIF(Sales!$C:$C,B466,Sales!$I:$I)</x:f>
        <x:v>0</x:v>
      </x:c>
      <x:c r="F466" s="66"/>
      <x:c r="G466" s="66" t="n">
        <x:f>E466-F466</x:f>
        <x:v>0</x:v>
      </x:c>
      <x:c r="H466" s="64" t="n">
        <x:f>IFERROR(MAXIFS(Sales!$B:$B,Sales!$C:$C,B466),"")</x:f>
        <x:v>0</x:v>
      </x:c>
      <x:c r="I466" s="50"/>
      <x:c r="J466" s="50"/>
      <x:c r="K466" s="50"/>
      <x:c r="L466" s="50"/>
      <x:c r="M466" s="50"/>
      <x:c r="N466" s="50"/>
      <x:c r="O466" s="50"/>
    </x:row>
    <x:row r="467">
      <x:c r="A467" s="50"/>
      <x:c r="B467" s="50"/>
      <x:c r="C467" s="50"/>
      <x:c r="D467" s="50"/>
      <x:c r="E467" s="66" t="n">
        <x:f>SUMIF(Sales!$C:$C,B467,Sales!$I:$I)</x:f>
        <x:v>0</x:v>
      </x:c>
      <x:c r="F467" s="66"/>
      <x:c r="G467" s="66" t="n">
        <x:f>E467-F467</x:f>
        <x:v>0</x:v>
      </x:c>
      <x:c r="H467" s="64" t="n">
        <x:f>IFERROR(MAXIFS(Sales!$B:$B,Sales!$C:$C,B467),"")</x:f>
        <x:v>0</x:v>
      </x:c>
      <x:c r="I467" s="50"/>
      <x:c r="J467" s="50"/>
      <x:c r="K467" s="50"/>
      <x:c r="L467" s="50"/>
      <x:c r="M467" s="50"/>
      <x:c r="N467" s="50"/>
      <x:c r="O467" s="50"/>
    </x:row>
    <x:row r="468">
      <x:c r="A468" s="50"/>
      <x:c r="B468" s="50"/>
      <x:c r="C468" s="50"/>
      <x:c r="D468" s="50"/>
      <x:c r="E468" s="66" t="n">
        <x:f>SUMIF(Sales!$C:$C,B468,Sales!$I:$I)</x:f>
        <x:v>0</x:v>
      </x:c>
      <x:c r="F468" s="66"/>
      <x:c r="G468" s="66" t="n">
        <x:f>E468-F468</x:f>
        <x:v>0</x:v>
      </x:c>
      <x:c r="H468" s="64" t="n">
        <x:f>IFERROR(MAXIFS(Sales!$B:$B,Sales!$C:$C,B468),"")</x:f>
        <x:v>0</x:v>
      </x:c>
      <x:c r="I468" s="50"/>
      <x:c r="J468" s="50"/>
      <x:c r="K468" s="50"/>
      <x:c r="L468" s="50"/>
      <x:c r="M468" s="50"/>
      <x:c r="N468" s="50"/>
      <x:c r="O468" s="50"/>
    </x:row>
    <x:row r="469">
      <x:c r="A469" s="50"/>
      <x:c r="B469" s="50"/>
      <x:c r="C469" s="50"/>
      <x:c r="D469" s="50"/>
      <x:c r="E469" s="66" t="n">
        <x:f>SUMIF(Sales!$C:$C,B469,Sales!$I:$I)</x:f>
        <x:v>0</x:v>
      </x:c>
      <x:c r="F469" s="66"/>
      <x:c r="G469" s="66" t="n">
        <x:f>E469-F469</x:f>
        <x:v>0</x:v>
      </x:c>
      <x:c r="H469" s="64" t="n">
        <x:f>IFERROR(MAXIFS(Sales!$B:$B,Sales!$C:$C,B469),"")</x:f>
        <x:v>0</x:v>
      </x:c>
      <x:c r="I469" s="50"/>
      <x:c r="J469" s="50"/>
      <x:c r="K469" s="50"/>
      <x:c r="L469" s="50"/>
      <x:c r="M469" s="50"/>
      <x:c r="N469" s="50"/>
      <x:c r="O469" s="50"/>
    </x:row>
    <x:row r="470">
      <x:c r="A470" s="50"/>
      <x:c r="B470" s="50"/>
      <x:c r="C470" s="50"/>
      <x:c r="D470" s="50"/>
      <x:c r="E470" s="66" t="n">
        <x:f>SUMIF(Sales!$C:$C,B470,Sales!$I:$I)</x:f>
        <x:v>0</x:v>
      </x:c>
      <x:c r="F470" s="66"/>
      <x:c r="G470" s="66" t="n">
        <x:f>E470-F470</x:f>
        <x:v>0</x:v>
      </x:c>
      <x:c r="H470" s="64" t="n">
        <x:f>IFERROR(MAXIFS(Sales!$B:$B,Sales!$C:$C,B470),"")</x:f>
        <x:v>0</x:v>
      </x:c>
      <x:c r="I470" s="50"/>
      <x:c r="J470" s="50"/>
      <x:c r="K470" s="50"/>
      <x:c r="L470" s="50"/>
      <x:c r="M470" s="50"/>
      <x:c r="N470" s="50"/>
      <x:c r="O470" s="50"/>
    </x:row>
    <x:row r="471">
      <x:c r="A471" s="50"/>
      <x:c r="B471" s="50"/>
      <x:c r="C471" s="50"/>
      <x:c r="D471" s="50"/>
      <x:c r="E471" s="66" t="n">
        <x:f>SUMIF(Sales!$C:$C,B471,Sales!$I:$I)</x:f>
        <x:v>0</x:v>
      </x:c>
      <x:c r="F471" s="66"/>
      <x:c r="G471" s="66" t="n">
        <x:f>E471-F471</x:f>
        <x:v>0</x:v>
      </x:c>
      <x:c r="H471" s="64" t="n">
        <x:f>IFERROR(MAXIFS(Sales!$B:$B,Sales!$C:$C,B471),"")</x:f>
        <x:v>0</x:v>
      </x:c>
      <x:c r="I471" s="50"/>
      <x:c r="J471" s="50"/>
      <x:c r="K471" s="50"/>
      <x:c r="L471" s="50"/>
      <x:c r="M471" s="50"/>
      <x:c r="N471" s="50"/>
      <x:c r="O471" s="50"/>
    </x:row>
    <x:row r="472">
      <x:c r="A472" s="50"/>
      <x:c r="B472" s="50"/>
      <x:c r="C472" s="50"/>
      <x:c r="D472" s="50"/>
      <x:c r="E472" s="66" t="n">
        <x:f>SUMIF(Sales!$C:$C,B472,Sales!$I:$I)</x:f>
        <x:v>0</x:v>
      </x:c>
      <x:c r="F472" s="66"/>
      <x:c r="G472" s="66" t="n">
        <x:f>E472-F472</x:f>
        <x:v>0</x:v>
      </x:c>
      <x:c r="H472" s="64" t="n">
        <x:f>IFERROR(MAXIFS(Sales!$B:$B,Sales!$C:$C,B472),"")</x:f>
        <x:v>0</x:v>
      </x:c>
      <x:c r="I472" s="50"/>
      <x:c r="J472" s="50"/>
      <x:c r="K472" s="50"/>
      <x:c r="L472" s="50"/>
      <x:c r="M472" s="50"/>
      <x:c r="N472" s="50"/>
      <x:c r="O472" s="50"/>
    </x:row>
    <x:row r="473">
      <x:c r="A473" s="50"/>
      <x:c r="B473" s="50"/>
      <x:c r="C473" s="50"/>
      <x:c r="D473" s="50"/>
      <x:c r="E473" s="66" t="n">
        <x:f>SUMIF(Sales!$C:$C,B473,Sales!$I:$I)</x:f>
        <x:v>0</x:v>
      </x:c>
      <x:c r="F473" s="66"/>
      <x:c r="G473" s="66" t="n">
        <x:f>E473-F473</x:f>
        <x:v>0</x:v>
      </x:c>
      <x:c r="H473" s="64" t="n">
        <x:f>IFERROR(MAXIFS(Sales!$B:$B,Sales!$C:$C,B473),"")</x:f>
        <x:v>0</x:v>
      </x:c>
      <x:c r="I473" s="50"/>
      <x:c r="J473" s="50"/>
      <x:c r="K473" s="50"/>
      <x:c r="L473" s="50"/>
      <x:c r="M473" s="50"/>
      <x:c r="N473" s="50"/>
      <x:c r="O473" s="50"/>
    </x:row>
    <x:row r="474">
      <x:c r="A474" s="50"/>
      <x:c r="B474" s="50"/>
      <x:c r="C474" s="50"/>
      <x:c r="D474" s="50"/>
      <x:c r="E474" s="66" t="n">
        <x:f>SUMIF(Sales!$C:$C,B474,Sales!$I:$I)</x:f>
        <x:v>0</x:v>
      </x:c>
      <x:c r="F474" s="66"/>
      <x:c r="G474" s="66" t="n">
        <x:f>E474-F474</x:f>
        <x:v>0</x:v>
      </x:c>
      <x:c r="H474" s="64" t="n">
        <x:f>IFERROR(MAXIFS(Sales!$B:$B,Sales!$C:$C,B474),"")</x:f>
        <x:v>0</x:v>
      </x:c>
      <x:c r="I474" s="50"/>
      <x:c r="J474" s="50"/>
      <x:c r="K474" s="50"/>
      <x:c r="L474" s="50"/>
      <x:c r="M474" s="50"/>
      <x:c r="N474" s="50"/>
      <x:c r="O474" s="50"/>
    </x:row>
    <x:row r="475">
      <x:c r="A475" s="50"/>
      <x:c r="B475" s="50"/>
      <x:c r="C475" s="50"/>
      <x:c r="D475" s="50"/>
      <x:c r="E475" s="66" t="n">
        <x:f>SUMIF(Sales!$C:$C,B475,Sales!$I:$I)</x:f>
        <x:v>0</x:v>
      </x:c>
      <x:c r="F475" s="66"/>
      <x:c r="G475" s="66" t="n">
        <x:f>E475-F475</x:f>
        <x:v>0</x:v>
      </x:c>
      <x:c r="H475" s="64" t="n">
        <x:f>IFERROR(MAXIFS(Sales!$B:$B,Sales!$C:$C,B475),"")</x:f>
        <x:v>0</x:v>
      </x:c>
      <x:c r="I475" s="50"/>
      <x:c r="J475" s="50"/>
      <x:c r="K475" s="50"/>
      <x:c r="L475" s="50"/>
      <x:c r="M475" s="50"/>
      <x:c r="N475" s="50"/>
      <x:c r="O475" s="50"/>
    </x:row>
    <x:row r="476">
      <x:c r="A476" s="50"/>
      <x:c r="B476" s="50"/>
      <x:c r="C476" s="50"/>
      <x:c r="D476" s="50"/>
      <x:c r="E476" s="66" t="n">
        <x:f>SUMIF(Sales!$C:$C,B476,Sales!$I:$I)</x:f>
        <x:v>0</x:v>
      </x:c>
      <x:c r="F476" s="66"/>
      <x:c r="G476" s="66" t="n">
        <x:f>E476-F476</x:f>
        <x:v>0</x:v>
      </x:c>
      <x:c r="H476" s="64" t="n">
        <x:f>IFERROR(MAXIFS(Sales!$B:$B,Sales!$C:$C,B476),"")</x:f>
        <x:v>0</x:v>
      </x:c>
      <x:c r="I476" s="50"/>
      <x:c r="J476" s="50"/>
      <x:c r="K476" s="50"/>
      <x:c r="L476" s="50"/>
      <x:c r="M476" s="50"/>
      <x:c r="N476" s="50"/>
      <x:c r="O476" s="50"/>
    </x:row>
    <x:row r="477">
      <x:c r="A477" s="50"/>
      <x:c r="B477" s="50"/>
      <x:c r="C477" s="50"/>
      <x:c r="D477" s="50"/>
      <x:c r="E477" s="66" t="n">
        <x:f>SUMIF(Sales!$C:$C,B477,Sales!$I:$I)</x:f>
        <x:v>0</x:v>
      </x:c>
      <x:c r="F477" s="66"/>
      <x:c r="G477" s="66" t="n">
        <x:f>E477-F477</x:f>
        <x:v>0</x:v>
      </x:c>
      <x:c r="H477" s="64" t="n">
        <x:f>IFERROR(MAXIFS(Sales!$B:$B,Sales!$C:$C,B477),"")</x:f>
        <x:v>0</x:v>
      </x:c>
      <x:c r="I477" s="50"/>
      <x:c r="J477" s="50"/>
      <x:c r="K477" s="50"/>
      <x:c r="L477" s="50"/>
      <x:c r="M477" s="50"/>
      <x:c r="N477" s="50"/>
      <x:c r="O477" s="50"/>
    </x:row>
    <x:row r="478">
      <x:c r="A478" s="50"/>
      <x:c r="B478" s="50"/>
      <x:c r="C478" s="50"/>
      <x:c r="D478" s="50"/>
      <x:c r="E478" s="66" t="n">
        <x:f>SUMIF(Sales!$C:$C,B478,Sales!$I:$I)</x:f>
        <x:v>0</x:v>
      </x:c>
      <x:c r="F478" s="66"/>
      <x:c r="G478" s="66" t="n">
        <x:f>E478-F478</x:f>
        <x:v>0</x:v>
      </x:c>
      <x:c r="H478" s="64" t="n">
        <x:f>IFERROR(MAXIFS(Sales!$B:$B,Sales!$C:$C,B478),"")</x:f>
        <x:v>0</x:v>
      </x:c>
      <x:c r="I478" s="50"/>
      <x:c r="J478" s="50"/>
      <x:c r="K478" s="50"/>
      <x:c r="L478" s="50"/>
      <x:c r="M478" s="50"/>
      <x:c r="N478" s="50"/>
      <x:c r="O478" s="50"/>
    </x:row>
    <x:row r="479">
      <x:c r="A479" s="50"/>
      <x:c r="B479" s="50"/>
      <x:c r="C479" s="50"/>
      <x:c r="D479" s="50"/>
      <x:c r="E479" s="66" t="n">
        <x:f>SUMIF(Sales!$C:$C,B479,Sales!$I:$I)</x:f>
        <x:v>0</x:v>
      </x:c>
      <x:c r="F479" s="66"/>
      <x:c r="G479" s="66" t="n">
        <x:f>E479-F479</x:f>
        <x:v>0</x:v>
      </x:c>
      <x:c r="H479" s="64" t="n">
        <x:f>IFERROR(MAXIFS(Sales!$B:$B,Sales!$C:$C,B479),"")</x:f>
        <x:v>0</x:v>
      </x:c>
      <x:c r="I479" s="50"/>
      <x:c r="J479" s="50"/>
      <x:c r="K479" s="50"/>
      <x:c r="L479" s="50"/>
      <x:c r="M479" s="50"/>
      <x:c r="N479" s="50"/>
      <x:c r="O479" s="50"/>
    </x:row>
    <x:row r="480">
      <x:c r="A480" s="50"/>
      <x:c r="B480" s="50"/>
      <x:c r="C480" s="50"/>
      <x:c r="D480" s="50"/>
      <x:c r="E480" s="66" t="n">
        <x:f>SUMIF(Sales!$C:$C,B480,Sales!$I:$I)</x:f>
        <x:v>0</x:v>
      </x:c>
      <x:c r="F480" s="66"/>
      <x:c r="G480" s="66" t="n">
        <x:f>E480-F480</x:f>
        <x:v>0</x:v>
      </x:c>
      <x:c r="H480" s="64" t="n">
        <x:f>IFERROR(MAXIFS(Sales!$B:$B,Sales!$C:$C,B480),"")</x:f>
        <x:v>0</x:v>
      </x:c>
      <x:c r="I480" s="50"/>
      <x:c r="J480" s="50"/>
      <x:c r="K480" s="50"/>
      <x:c r="L480" s="50"/>
      <x:c r="M480" s="50"/>
      <x:c r="N480" s="50"/>
      <x:c r="O480" s="50"/>
    </x:row>
    <x:row r="481">
      <x:c r="A481" s="50"/>
      <x:c r="B481" s="50"/>
      <x:c r="C481" s="50"/>
      <x:c r="D481" s="50"/>
      <x:c r="E481" s="66" t="n">
        <x:f>SUMIF(Sales!$C:$C,B481,Sales!$I:$I)</x:f>
        <x:v>0</x:v>
      </x:c>
      <x:c r="F481" s="66"/>
      <x:c r="G481" s="66" t="n">
        <x:f>E481-F481</x:f>
        <x:v>0</x:v>
      </x:c>
      <x:c r="H481" s="64" t="n">
        <x:f>IFERROR(MAXIFS(Sales!$B:$B,Sales!$C:$C,B481),"")</x:f>
        <x:v>0</x:v>
      </x:c>
      <x:c r="I481" s="50"/>
      <x:c r="J481" s="50"/>
      <x:c r="K481" s="50"/>
      <x:c r="L481" s="50"/>
      <x:c r="M481" s="50"/>
      <x:c r="N481" s="50"/>
      <x:c r="O481" s="50"/>
    </x:row>
    <x:row r="482">
      <x:c r="A482" s="50"/>
      <x:c r="B482" s="50"/>
      <x:c r="C482" s="50"/>
      <x:c r="D482" s="50"/>
      <x:c r="E482" s="66" t="n">
        <x:f>SUMIF(Sales!$C:$C,B482,Sales!$I:$I)</x:f>
        <x:v>0</x:v>
      </x:c>
      <x:c r="F482" s="66"/>
      <x:c r="G482" s="66" t="n">
        <x:f>E482-F482</x:f>
        <x:v>0</x:v>
      </x:c>
      <x:c r="H482" s="64" t="n">
        <x:f>IFERROR(MAXIFS(Sales!$B:$B,Sales!$C:$C,B482),"")</x:f>
        <x:v>0</x:v>
      </x:c>
      <x:c r="I482" s="50"/>
      <x:c r="J482" s="50"/>
      <x:c r="K482" s="50"/>
      <x:c r="L482" s="50"/>
      <x:c r="M482" s="50"/>
      <x:c r="N482" s="50"/>
      <x:c r="O482" s="50"/>
    </x:row>
    <x:row r="483">
      <x:c r="A483" s="50"/>
      <x:c r="B483" s="50"/>
      <x:c r="C483" s="50"/>
      <x:c r="D483" s="50"/>
      <x:c r="E483" s="66" t="n">
        <x:f>SUMIF(Sales!$C:$C,B483,Sales!$I:$I)</x:f>
        <x:v>0</x:v>
      </x:c>
      <x:c r="F483" s="66"/>
      <x:c r="G483" s="66" t="n">
        <x:f>E483-F483</x:f>
        <x:v>0</x:v>
      </x:c>
      <x:c r="H483" s="64" t="n">
        <x:f>IFERROR(MAXIFS(Sales!$B:$B,Sales!$C:$C,B483),"")</x:f>
        <x:v>0</x:v>
      </x:c>
      <x:c r="I483" s="50"/>
      <x:c r="J483" s="50"/>
      <x:c r="K483" s="50"/>
      <x:c r="L483" s="50"/>
      <x:c r="M483" s="50"/>
      <x:c r="N483" s="50"/>
      <x:c r="O483" s="50"/>
    </x:row>
    <x:row r="484">
      <x:c r="A484" s="50"/>
      <x:c r="B484" s="50"/>
      <x:c r="C484" s="50"/>
      <x:c r="D484" s="50"/>
      <x:c r="E484" s="66" t="n">
        <x:f>SUMIF(Sales!$C:$C,B484,Sales!$I:$I)</x:f>
        <x:v>0</x:v>
      </x:c>
      <x:c r="F484" s="66"/>
      <x:c r="G484" s="66" t="n">
        <x:f>E484-F484</x:f>
        <x:v>0</x:v>
      </x:c>
      <x:c r="H484" s="64" t="n">
        <x:f>IFERROR(MAXIFS(Sales!$B:$B,Sales!$C:$C,B484),"")</x:f>
        <x:v>0</x:v>
      </x:c>
      <x:c r="I484" s="50"/>
      <x:c r="J484" s="50"/>
      <x:c r="K484" s="50"/>
      <x:c r="L484" s="50"/>
      <x:c r="M484" s="50"/>
      <x:c r="N484" s="50"/>
      <x:c r="O484" s="50"/>
    </x:row>
    <x:row r="485">
      <x:c r="A485" s="50"/>
      <x:c r="B485" s="50"/>
      <x:c r="C485" s="50"/>
      <x:c r="D485" s="50"/>
      <x:c r="E485" s="66" t="n">
        <x:f>SUMIF(Sales!$C:$C,B485,Sales!$I:$I)</x:f>
        <x:v>0</x:v>
      </x:c>
      <x:c r="F485" s="66"/>
      <x:c r="G485" s="66" t="n">
        <x:f>E485-F485</x:f>
        <x:v>0</x:v>
      </x:c>
      <x:c r="H485" s="64" t="n">
        <x:f>IFERROR(MAXIFS(Sales!$B:$B,Sales!$C:$C,B485),"")</x:f>
        <x:v>0</x:v>
      </x:c>
      <x:c r="I485" s="50"/>
      <x:c r="J485" s="50"/>
      <x:c r="K485" s="50"/>
      <x:c r="L485" s="50"/>
      <x:c r="M485" s="50"/>
      <x:c r="N485" s="50"/>
      <x:c r="O485" s="50"/>
    </x:row>
    <x:row r="486">
      <x:c r="A486" s="50"/>
      <x:c r="B486" s="50"/>
      <x:c r="C486" s="50"/>
      <x:c r="D486" s="50"/>
      <x:c r="E486" s="66" t="n">
        <x:f>SUMIF(Sales!$C:$C,B486,Sales!$I:$I)</x:f>
        <x:v>0</x:v>
      </x:c>
      <x:c r="F486" s="66"/>
      <x:c r="G486" s="66" t="n">
        <x:f>E486-F486</x:f>
        <x:v>0</x:v>
      </x:c>
      <x:c r="H486" s="64" t="n">
        <x:f>IFERROR(MAXIFS(Sales!$B:$B,Sales!$C:$C,B486),"")</x:f>
        <x:v>0</x:v>
      </x:c>
      <x:c r="I486" s="50"/>
      <x:c r="J486" s="50"/>
      <x:c r="K486" s="50"/>
      <x:c r="L486" s="50"/>
      <x:c r="M486" s="50"/>
      <x:c r="N486" s="50"/>
      <x:c r="O486" s="50"/>
    </x:row>
    <x:row r="487">
      <x:c r="A487" s="50"/>
      <x:c r="B487" s="50"/>
      <x:c r="C487" s="50"/>
      <x:c r="D487" s="50"/>
      <x:c r="E487" s="66" t="n">
        <x:f>SUMIF(Sales!$C:$C,B487,Sales!$I:$I)</x:f>
        <x:v>0</x:v>
      </x:c>
      <x:c r="F487" s="66"/>
      <x:c r="G487" s="66" t="n">
        <x:f>E487-F487</x:f>
        <x:v>0</x:v>
      </x:c>
      <x:c r="H487" s="64" t="n">
        <x:f>IFERROR(MAXIFS(Sales!$B:$B,Sales!$C:$C,B487),"")</x:f>
        <x:v>0</x:v>
      </x:c>
      <x:c r="I487" s="50"/>
      <x:c r="J487" s="50"/>
      <x:c r="K487" s="50"/>
      <x:c r="L487" s="50"/>
      <x:c r="M487" s="50"/>
      <x:c r="N487" s="50"/>
      <x:c r="O487" s="50"/>
    </x:row>
    <x:row r="488">
      <x:c r="A488" s="50"/>
      <x:c r="B488" s="50"/>
      <x:c r="C488" s="50"/>
      <x:c r="D488" s="50"/>
      <x:c r="E488" s="66" t="n">
        <x:f>SUMIF(Sales!$C:$C,B488,Sales!$I:$I)</x:f>
        <x:v>0</x:v>
      </x:c>
      <x:c r="F488" s="66"/>
      <x:c r="G488" s="66" t="n">
        <x:f>E488-F488</x:f>
        <x:v>0</x:v>
      </x:c>
      <x:c r="H488" s="64" t="n">
        <x:f>IFERROR(MAXIFS(Sales!$B:$B,Sales!$C:$C,B488),"")</x:f>
        <x:v>0</x:v>
      </x:c>
      <x:c r="I488" s="50"/>
      <x:c r="J488" s="50"/>
      <x:c r="K488" s="50"/>
      <x:c r="L488" s="50"/>
      <x:c r="M488" s="50"/>
      <x:c r="N488" s="50"/>
      <x:c r="O488" s="50"/>
    </x:row>
    <x:row r="489">
      <x:c r="A489" s="50"/>
      <x:c r="B489" s="50"/>
      <x:c r="C489" s="50"/>
      <x:c r="D489" s="50"/>
      <x:c r="E489" s="66" t="n">
        <x:f>SUMIF(Sales!$C:$C,B489,Sales!$I:$I)</x:f>
        <x:v>0</x:v>
      </x:c>
      <x:c r="F489" s="66"/>
      <x:c r="G489" s="66" t="n">
        <x:f>E489-F489</x:f>
        <x:v>0</x:v>
      </x:c>
      <x:c r="H489" s="64" t="n">
        <x:f>IFERROR(MAXIFS(Sales!$B:$B,Sales!$C:$C,B489),"")</x:f>
        <x:v>0</x:v>
      </x:c>
      <x:c r="I489" s="50"/>
      <x:c r="J489" s="50"/>
      <x:c r="K489" s="50"/>
      <x:c r="L489" s="50"/>
      <x:c r="M489" s="50"/>
      <x:c r="N489" s="50"/>
      <x:c r="O489" s="50"/>
    </x:row>
    <x:row r="490">
      <x:c r="A490" s="50"/>
      <x:c r="B490" s="50"/>
      <x:c r="C490" s="50"/>
      <x:c r="D490" s="50"/>
      <x:c r="E490" s="66" t="n">
        <x:f>SUMIF(Sales!$C:$C,B490,Sales!$I:$I)</x:f>
        <x:v>0</x:v>
      </x:c>
      <x:c r="F490" s="66"/>
      <x:c r="G490" s="66" t="n">
        <x:f>E490-F490</x:f>
        <x:v>0</x:v>
      </x:c>
      <x:c r="H490" s="64" t="n">
        <x:f>IFERROR(MAXIFS(Sales!$B:$B,Sales!$C:$C,B490),"")</x:f>
        <x:v>0</x:v>
      </x:c>
      <x:c r="I490" s="50"/>
      <x:c r="J490" s="50"/>
      <x:c r="K490" s="50"/>
      <x:c r="L490" s="50"/>
      <x:c r="M490" s="50"/>
      <x:c r="N490" s="50"/>
      <x:c r="O490" s="50"/>
    </x:row>
    <x:row r="491">
      <x:c r="A491" s="50"/>
      <x:c r="B491" s="50"/>
      <x:c r="C491" s="50"/>
      <x:c r="D491" s="50"/>
      <x:c r="E491" s="66" t="n">
        <x:f>SUMIF(Sales!$C:$C,B491,Sales!$I:$I)</x:f>
        <x:v>0</x:v>
      </x:c>
      <x:c r="F491" s="66"/>
      <x:c r="G491" s="66" t="n">
        <x:f>E491-F491</x:f>
        <x:v>0</x:v>
      </x:c>
      <x:c r="H491" s="64" t="n">
        <x:f>IFERROR(MAXIFS(Sales!$B:$B,Sales!$C:$C,B491),"")</x:f>
        <x:v>0</x:v>
      </x:c>
      <x:c r="I491" s="50"/>
      <x:c r="J491" s="50"/>
      <x:c r="K491" s="50"/>
      <x:c r="L491" s="50"/>
      <x:c r="M491" s="50"/>
      <x:c r="N491" s="50"/>
      <x:c r="O491" s="50"/>
    </x:row>
    <x:row r="492">
      <x:c r="A492" s="50"/>
      <x:c r="B492" s="50"/>
      <x:c r="C492" s="50"/>
      <x:c r="D492" s="50"/>
      <x:c r="E492" s="66" t="n">
        <x:f>SUMIF(Sales!$C:$C,B492,Sales!$I:$I)</x:f>
        <x:v>0</x:v>
      </x:c>
      <x:c r="F492" s="66"/>
      <x:c r="G492" s="66" t="n">
        <x:f>E492-F492</x:f>
        <x:v>0</x:v>
      </x:c>
      <x:c r="H492" s="64" t="n">
        <x:f>IFERROR(MAXIFS(Sales!$B:$B,Sales!$C:$C,B492),"")</x:f>
        <x:v>0</x:v>
      </x:c>
      <x:c r="I492" s="50"/>
      <x:c r="J492" s="50"/>
      <x:c r="K492" s="50"/>
      <x:c r="L492" s="50"/>
      <x:c r="M492" s="50"/>
      <x:c r="N492" s="50"/>
      <x:c r="O492" s="50"/>
    </x:row>
    <x:row r="493">
      <x:c r="A493" s="50"/>
      <x:c r="B493" s="50"/>
      <x:c r="C493" s="50"/>
      <x:c r="D493" s="50"/>
      <x:c r="E493" s="66" t="n">
        <x:f>SUMIF(Sales!$C:$C,B493,Sales!$I:$I)</x:f>
        <x:v>0</x:v>
      </x:c>
      <x:c r="F493" s="66"/>
      <x:c r="G493" s="66" t="n">
        <x:f>E493-F493</x:f>
        <x:v>0</x:v>
      </x:c>
      <x:c r="H493" s="64" t="n">
        <x:f>IFERROR(MAXIFS(Sales!$B:$B,Sales!$C:$C,B493),"")</x:f>
        <x:v>0</x:v>
      </x:c>
      <x:c r="I493" s="50"/>
      <x:c r="J493" s="50"/>
      <x:c r="K493" s="50"/>
      <x:c r="L493" s="50"/>
      <x:c r="M493" s="50"/>
      <x:c r="N493" s="50"/>
      <x:c r="O493" s="50"/>
    </x:row>
    <x:row r="494">
      <x:c r="A494" s="50"/>
      <x:c r="B494" s="50"/>
      <x:c r="C494" s="50"/>
      <x:c r="D494" s="50"/>
      <x:c r="E494" s="66" t="n">
        <x:f>SUMIF(Sales!$C:$C,B494,Sales!$I:$I)</x:f>
        <x:v>0</x:v>
      </x:c>
      <x:c r="F494" s="66"/>
      <x:c r="G494" s="66" t="n">
        <x:f>E494-F494</x:f>
        <x:v>0</x:v>
      </x:c>
      <x:c r="H494" s="64" t="n">
        <x:f>IFERROR(MAXIFS(Sales!$B:$B,Sales!$C:$C,B494),"")</x:f>
        <x:v>0</x:v>
      </x:c>
      <x:c r="I494" s="50"/>
      <x:c r="J494" s="50"/>
      <x:c r="K494" s="50"/>
      <x:c r="L494" s="50"/>
      <x:c r="M494" s="50"/>
      <x:c r="N494" s="50"/>
      <x:c r="O494" s="50"/>
    </x:row>
    <x:row r="495">
      <x:c r="A495" s="50"/>
      <x:c r="B495" s="50"/>
      <x:c r="C495" s="50"/>
      <x:c r="D495" s="50"/>
      <x:c r="E495" s="66" t="n">
        <x:f>SUMIF(Sales!$C:$C,B495,Sales!$I:$I)</x:f>
        <x:v>0</x:v>
      </x:c>
      <x:c r="F495" s="66"/>
      <x:c r="G495" s="66" t="n">
        <x:f>E495-F495</x:f>
        <x:v>0</x:v>
      </x:c>
      <x:c r="H495" s="64" t="n">
        <x:f>IFERROR(MAXIFS(Sales!$B:$B,Sales!$C:$C,B495),"")</x:f>
        <x:v>0</x:v>
      </x:c>
      <x:c r="I495" s="50"/>
      <x:c r="J495" s="50"/>
      <x:c r="K495" s="50"/>
      <x:c r="L495" s="50"/>
      <x:c r="M495" s="50"/>
      <x:c r="N495" s="50"/>
      <x:c r="O495" s="50"/>
    </x:row>
    <x:row r="496">
      <x:c r="A496" s="50"/>
      <x:c r="B496" s="50"/>
      <x:c r="C496" s="50"/>
      <x:c r="D496" s="50"/>
      <x:c r="E496" s="66" t="n">
        <x:f>SUMIF(Sales!$C:$C,B496,Sales!$I:$I)</x:f>
        <x:v>0</x:v>
      </x:c>
      <x:c r="F496" s="66"/>
      <x:c r="G496" s="66" t="n">
        <x:f>E496-F496</x:f>
        <x:v>0</x:v>
      </x:c>
      <x:c r="H496" s="64" t="n">
        <x:f>IFERROR(MAXIFS(Sales!$B:$B,Sales!$C:$C,B496),"")</x:f>
        <x:v>0</x:v>
      </x:c>
      <x:c r="I496" s="50"/>
      <x:c r="J496" s="50"/>
      <x:c r="K496" s="50"/>
      <x:c r="L496" s="50"/>
      <x:c r="M496" s="50"/>
      <x:c r="N496" s="50"/>
      <x:c r="O496" s="50"/>
    </x:row>
    <x:row r="497">
      <x:c r="A497" s="50"/>
      <x:c r="B497" s="50"/>
      <x:c r="C497" s="50"/>
      <x:c r="D497" s="50"/>
      <x:c r="E497" s="66" t="n">
        <x:f>SUMIF(Sales!$C:$C,B497,Sales!$I:$I)</x:f>
        <x:v>0</x:v>
      </x:c>
      <x:c r="F497" s="66"/>
      <x:c r="G497" s="66" t="n">
        <x:f>E497-F497</x:f>
        <x:v>0</x:v>
      </x:c>
      <x:c r="H497" s="64" t="n">
        <x:f>IFERROR(MAXIFS(Sales!$B:$B,Sales!$C:$C,B497),"")</x:f>
        <x:v>0</x:v>
      </x:c>
      <x:c r="I497" s="50"/>
      <x:c r="J497" s="50"/>
      <x:c r="K497" s="50"/>
      <x:c r="L497" s="50"/>
      <x:c r="M497" s="50"/>
      <x:c r="N497" s="50"/>
      <x:c r="O497" s="50"/>
    </x:row>
    <x:row r="498">
      <x:c r="A498" s="50"/>
      <x:c r="B498" s="50"/>
      <x:c r="C498" s="50"/>
      <x:c r="D498" s="50"/>
      <x:c r="E498" s="66" t="n">
        <x:f>SUMIF(Sales!$C:$C,B498,Sales!$I:$I)</x:f>
        <x:v>0</x:v>
      </x:c>
      <x:c r="F498" s="66"/>
      <x:c r="G498" s="66" t="n">
        <x:f>E498-F498</x:f>
        <x:v>0</x:v>
      </x:c>
      <x:c r="H498" s="64" t="n">
        <x:f>IFERROR(MAXIFS(Sales!$B:$B,Sales!$C:$C,B498),"")</x:f>
        <x:v>0</x:v>
      </x:c>
      <x:c r="I498" s="50"/>
      <x:c r="J498" s="50"/>
      <x:c r="K498" s="50"/>
      <x:c r="L498" s="50"/>
      <x:c r="M498" s="50"/>
      <x:c r="N498" s="50"/>
      <x:c r="O498" s="50"/>
    </x:row>
    <x:row r="499">
      <x:c r="A499" s="50"/>
      <x:c r="B499" s="50"/>
      <x:c r="C499" s="50"/>
      <x:c r="D499" s="50"/>
      <x:c r="E499" s="66" t="n">
        <x:f>SUMIF(Sales!$C:$C,B499,Sales!$I:$I)</x:f>
        <x:v>0</x:v>
      </x:c>
      <x:c r="F499" s="66"/>
      <x:c r="G499" s="66" t="n">
        <x:f>E499-F499</x:f>
        <x:v>0</x:v>
      </x:c>
      <x:c r="H499" s="64" t="n">
        <x:f>IFERROR(MAXIFS(Sales!$B:$B,Sales!$C:$C,B499),"")</x:f>
        <x:v>0</x:v>
      </x:c>
      <x:c r="I499" s="50"/>
      <x:c r="J499" s="50"/>
      <x:c r="K499" s="50"/>
      <x:c r="L499" s="50"/>
      <x:c r="M499" s="50"/>
      <x:c r="N499" s="50"/>
      <x:c r="O499" s="50"/>
    </x:row>
    <x:row r="500">
      <x:c r="A500" s="50"/>
      <x:c r="B500" s="50"/>
      <x:c r="C500" s="50"/>
      <x:c r="D500" s="50"/>
      <x:c r="E500" s="66" t="n">
        <x:f>SUMIF(Sales!$C:$C,B500,Sales!$I:$I)</x:f>
        <x:v>0</x:v>
      </x:c>
      <x:c r="F500" s="66"/>
      <x:c r="G500" s="66" t="n">
        <x:f>E500-F500</x:f>
        <x:v>0</x:v>
      </x:c>
      <x:c r="H500" s="64" t="n">
        <x:f>IFERROR(MAXIFS(Sales!$B:$B,Sales!$C:$C,B500),"")</x:f>
        <x:v>0</x:v>
      </x:c>
      <x:c r="I500" s="50"/>
      <x:c r="J500" s="50"/>
      <x:c r="K500" s="50"/>
      <x:c r="L500" s="50"/>
      <x:c r="M500" s="50"/>
      <x:c r="N500" s="50"/>
      <x:c r="O500" s="50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7befb72cfbd48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5" t="str">
        <x:v>PRINTING PLATES INVOICE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>
      <x:c r="A3" s="44" t="str">
        <x:v>Invoice No</x:v>
      </x:c>
      <x:c r="B3" s="53" t="str">
        <x:v>INV001</x:v>
      </x:c>
      <x:c r="C3" s="53"/>
      <x:c r="D3" s="53"/>
      <x:c r="E3" s="53"/>
      <x:c r="F3" s="53"/>
      <x:c r="G3" s="53"/>
      <x:c r="H3" s="53"/>
      <x:c r="I3" s="50"/>
      <x:c r="J3" s="50"/>
      <x:c r="K3" s="50"/>
      <x:c r="L3" s="50"/>
      <x:c r="M3" s="50"/>
      <x:c r="N3" s="50"/>
      <x:c r="O3" s="50"/>
    </x:row>
    <x:row r="4">
      <x:c r="A4" s="44" t="str">
        <x:v>Invoice Date</x:v>
      </x:c>
      <x:c r="B4" s="53" t="str">
        <x:f>IFERROR(INDEX(Sales!$B:$B,MATCH($B$3,Sales!$A:$A,0)),"")</x:f>
      </x:c>
      <x:c r="C4" s="53"/>
      <x:c r="D4" s="53"/>
      <x:c r="E4" s="53"/>
      <x:c r="F4" s="53"/>
      <x:c r="G4" s="53"/>
      <x:c r="H4" s="53"/>
      <x:c r="I4" s="50"/>
      <x:c r="J4" s="50"/>
      <x:c r="K4" s="50"/>
      <x:c r="L4" s="50"/>
      <x:c r="M4" s="50"/>
      <x:c r="N4" s="50"/>
      <x:c r="O4" s="50"/>
    </x:row>
    <x:row r="5">
      <x:c r="A5" s="44" t="str">
        <x:v>Client Name</x:v>
      </x:c>
      <x:c r="B5" s="53" t="str">
        <x:f>IFERROR(INDEX(Sales!$C:$C,MATCH($B$3,Sales!$A:$A,0)),"")</x:f>
      </x:c>
      <x:c r="C5" s="53"/>
      <x:c r="D5" s="53"/>
      <x:c r="E5" s="53"/>
      <x:c r="F5" s="53"/>
      <x:c r="G5" s="53"/>
      <x:c r="H5" s="53"/>
      <x:c r="I5" s="50"/>
      <x:c r="J5" s="50"/>
      <x:c r="K5" s="50"/>
      <x:c r="L5" s="50"/>
      <x:c r="M5" s="50"/>
      <x:c r="N5" s="50"/>
      <x:c r="O5" s="50"/>
    </x:row>
    <x:row r="6">
      <x:c r="A6" s="44" t="str">
        <x:v>Phone</x:v>
      </x:c>
      <x:c r="B6" s="53" t="str">
        <x:f>IFERROR(VLOOKUP($B$5,Clients!$B:$D,2,FALSE),"")</x:f>
      </x:c>
      <x:c r="C6" s="53"/>
      <x:c r="D6" s="53"/>
      <x:c r="E6" s="53"/>
      <x:c r="F6" s="53"/>
      <x:c r="G6" s="53"/>
      <x:c r="H6" s="53"/>
      <x:c r="I6" s="50"/>
      <x:c r="J6" s="50"/>
      <x:c r="K6" s="50"/>
      <x:c r="L6" s="50"/>
      <x:c r="M6" s="50"/>
      <x:c r="N6" s="50"/>
      <x:c r="O6" s="50"/>
    </x:row>
    <x:row r="7">
      <x:c r="A7" s="44" t="str">
        <x:v>Address</x:v>
      </x:c>
      <x:c r="B7" s="53" t="str">
        <x:f>IFERROR(VLOOKUP($B$5,Clients!$B:$D,3,FALSE),"")</x:f>
      </x:c>
      <x:c r="C7" s="53"/>
      <x:c r="D7" s="53"/>
      <x:c r="E7" s="53"/>
      <x:c r="F7" s="53"/>
      <x:c r="G7" s="53"/>
      <x:c r="H7" s="53"/>
      <x:c r="I7" s="50"/>
      <x:c r="J7" s="50"/>
      <x:c r="K7" s="50"/>
      <x:c r="L7" s="50"/>
      <x:c r="M7" s="50"/>
      <x:c r="N7" s="50"/>
      <x:c r="O7" s="50"/>
    </x:row>
    <x:row r="8">
      <x:c r="A8" s="53"/>
      <x:c r="B8" s="53"/>
      <x:c r="C8" s="53"/>
      <x:c r="D8" s="53"/>
      <x:c r="E8" s="53"/>
      <x:c r="F8" s="53"/>
      <x:c r="G8" s="53"/>
      <x:c r="H8" s="53"/>
      <x:c r="I8" s="50"/>
      <x:c r="J8" s="50"/>
      <x:c r="K8" s="50"/>
      <x:c r="L8" s="50"/>
      <x:c r="M8" s="50"/>
      <x:c r="N8" s="50"/>
      <x:c r="O8" s="50"/>
    </x:row>
    <x:row r="9" ht="24" customHeight="1">
      <x:c r="A9" s="6" t="str">
        <x:v>Item Code</x:v>
      </x:c>
      <x:c r="B9" s="6" t="str">
        <x:v>Stock Name</x:v>
      </x:c>
      <x:c r="C9" s="6" t="str">
        <x:v>Size</x:v>
      </x:c>
      <x:c r="D9" s="6" t="str">
        <x:v>Qty</x:v>
      </x:c>
      <x:c r="E9" s="6" t="str">
        <x:v>Rate</x:v>
      </x:c>
      <x:c r="F9" s="6" t="str">
        <x:v>Total</x:v>
      </x:c>
      <x:c r="G9" s="53"/>
      <x:c r="H9" s="53"/>
      <x:c r="I9" s="50"/>
      <x:c r="J9" s="50"/>
      <x:c r="K9" s="50"/>
      <x:c r="L9" s="50"/>
      <x:c r="M9" s="50"/>
      <x:c r="N9" s="50"/>
      <x:c r="O9" s="50"/>
    </x:row>
    <x:row r="10">
      <x:c r="A10" s="53" t="str">
        <x:f>IFERROR(INDEX(Sales!$D:$D,AGGREGATE(15,6,ROW(Sales!$A$4:$A$500)/(Sales!$A$4:$A$500=$B$3),ROWS($A$10:A10))),"")</x:f>
      </x:c>
      <x:c r="B10" s="53" t="str">
        <x:f>IFERROR(IF($A10="","",VLOOKUP($A10,Inventory!$B:$D,2,FALSE)),"")</x:f>
      </x:c>
      <x:c r="C10" s="53" t="str">
        <x:f>IFERROR(IF($A10="","",VLOOKUP($A10,Inventory!$B:$D,3,FALSE)),"")</x:f>
      </x:c>
      <x:c r="D10" s="59" t="str">
        <x:f>IFERROR(IF($A10="","",INDEX(Sales!$G:$G,AGGREGATE(15,6,ROW(Sales!$A$4:$A$500)/(Sales!$A$4:$A$500=$B$3),ROWS($A$10:A10)))),"")</x:f>
      </x:c>
      <x:c r="E10" s="58" t="str">
        <x:f>IFERROR(IF($A10="","",INDEX(Sales!$H:$H,AGGREGATE(15,6,ROW(Sales!$A$4:$A$500)/(Sales!$A$4:$A$500=$B$3),ROWS($A$10:A10)))),"")</x:f>
      </x:c>
      <x:c r="F10" s="58" t="str">
        <x:f>IFERROR(IF($A10="","",$D10*$E10),"")</x:f>
      </x:c>
      <x:c r="G10" s="53"/>
      <x:c r="H10" s="53"/>
      <x:c r="I10" s="50"/>
      <x:c r="J10" s="50"/>
      <x:c r="K10" s="50"/>
      <x:c r="L10" s="50"/>
      <x:c r="M10" s="50"/>
      <x:c r="N10" s="50"/>
      <x:c r="O10" s="50"/>
    </x:row>
    <x:row r="11">
      <x:c r="A11" s="53" t="str">
        <x:f>IFERROR(INDEX(Sales!$D:$D,AGGREGATE(15,6,ROW(Sales!$A$4:$A$500)/(Sales!$A$4:$A$500=$B$3),ROWS($A$10:A11))),"")</x:f>
      </x:c>
      <x:c r="B11" s="53" t="str">
        <x:f>IFERROR(IF($A11="","",VLOOKUP($A11,Inventory!$B:$D,2,FALSE)),"")</x:f>
      </x:c>
      <x:c r="C11" s="53" t="str">
        <x:f>IFERROR(IF($A11="","",VLOOKUP($A11,Inventory!$B:$D,3,FALSE)),"")</x:f>
      </x:c>
      <x:c r="D11" s="59" t="str">
        <x:f>IFERROR(IF($A11="","",INDEX(Sales!$G:$G,AGGREGATE(15,6,ROW(Sales!$A$4:$A$500)/(Sales!$A$4:$A$500=$B$3),ROWS($A$10:A11)))),"")</x:f>
      </x:c>
      <x:c r="E11" s="58" t="str">
        <x:f>IFERROR(IF($A11="","",INDEX(Sales!$H:$H,AGGREGATE(15,6,ROW(Sales!$A$4:$A$500)/(Sales!$A$4:$A$500=$B$3),ROWS($A$10:A11)))),"")</x:f>
      </x:c>
      <x:c r="F11" s="58" t="str">
        <x:f>IFERROR(IF($A11="","",$D11*$E11),"")</x:f>
      </x:c>
      <x:c r="G11" s="53"/>
      <x:c r="H11" s="53"/>
      <x:c r="I11" s="50"/>
      <x:c r="J11" s="50"/>
      <x:c r="K11" s="50"/>
      <x:c r="L11" s="50"/>
      <x:c r="M11" s="50"/>
      <x:c r="N11" s="50"/>
      <x:c r="O11" s="50"/>
    </x:row>
    <x:row r="12">
      <x:c r="A12" s="53" t="str">
        <x:f>IFERROR(INDEX(Sales!$D:$D,AGGREGATE(15,6,ROW(Sales!$A$4:$A$500)/(Sales!$A$4:$A$500=$B$3),ROWS($A$10:A12))),"")</x:f>
      </x:c>
      <x:c r="B12" s="53" t="str">
        <x:f>IFERROR(IF($A12="","",VLOOKUP($A12,Inventory!$B:$D,2,FALSE)),"")</x:f>
      </x:c>
      <x:c r="C12" s="53" t="str">
        <x:f>IFERROR(IF($A12="","",VLOOKUP($A12,Inventory!$B:$D,3,FALSE)),"")</x:f>
      </x:c>
      <x:c r="D12" s="59" t="str">
        <x:f>IFERROR(IF($A12="","",INDEX(Sales!$G:$G,AGGREGATE(15,6,ROW(Sales!$A$4:$A$500)/(Sales!$A$4:$A$500=$B$3),ROWS($A$10:A12)))),"")</x:f>
      </x:c>
      <x:c r="E12" s="58" t="str">
        <x:f>IFERROR(IF($A12="","",INDEX(Sales!$H:$H,AGGREGATE(15,6,ROW(Sales!$A$4:$A$500)/(Sales!$A$4:$A$500=$B$3),ROWS($A$10:A12)))),"")</x:f>
      </x:c>
      <x:c r="F12" s="58" t="str">
        <x:f>IFERROR(IF($A12="","",$D12*$E12),"")</x:f>
      </x:c>
      <x:c r="G12" s="53"/>
      <x:c r="H12" s="53"/>
      <x:c r="I12" s="50"/>
      <x:c r="J12" s="50"/>
      <x:c r="K12" s="50"/>
      <x:c r="L12" s="50"/>
      <x:c r="M12" s="50"/>
      <x:c r="N12" s="50"/>
      <x:c r="O12" s="50"/>
    </x:row>
    <x:row r="13">
      <x:c r="A13" s="53" t="str">
        <x:f>IFERROR(INDEX(Sales!$D:$D,AGGREGATE(15,6,ROW(Sales!$A$4:$A$500)/(Sales!$A$4:$A$500=$B$3),ROWS($A$10:A13))),"")</x:f>
      </x:c>
      <x:c r="B13" s="53" t="str">
        <x:f>IFERROR(IF($A13="","",VLOOKUP($A13,Inventory!$B:$D,2,FALSE)),"")</x:f>
      </x:c>
      <x:c r="C13" s="53" t="str">
        <x:f>IFERROR(IF($A13="","",VLOOKUP($A13,Inventory!$B:$D,3,FALSE)),"")</x:f>
      </x:c>
      <x:c r="D13" s="59" t="str">
        <x:f>IFERROR(IF($A13="","",INDEX(Sales!$G:$G,AGGREGATE(15,6,ROW(Sales!$A$4:$A$500)/(Sales!$A$4:$A$500=$B$3),ROWS($A$10:A13)))),"")</x:f>
      </x:c>
      <x:c r="E13" s="58" t="str">
        <x:f>IFERROR(IF($A13="","",INDEX(Sales!$H:$H,AGGREGATE(15,6,ROW(Sales!$A$4:$A$500)/(Sales!$A$4:$A$500=$B$3),ROWS($A$10:A13)))),"")</x:f>
      </x:c>
      <x:c r="F13" s="58" t="str">
        <x:f>IFERROR(IF($A13="","",$D13*$E13),"")</x:f>
      </x:c>
      <x:c r="G13" s="53"/>
      <x:c r="H13" s="53"/>
      <x:c r="I13" s="50"/>
      <x:c r="J13" s="50"/>
      <x:c r="K13" s="50"/>
      <x:c r="L13" s="50"/>
      <x:c r="M13" s="50"/>
      <x:c r="N13" s="50"/>
      <x:c r="O13" s="50"/>
    </x:row>
    <x:row r="14">
      <x:c r="A14" s="53" t="str">
        <x:f>IFERROR(INDEX(Sales!$D:$D,AGGREGATE(15,6,ROW(Sales!$A$4:$A$500)/(Sales!$A$4:$A$500=$B$3),ROWS($A$10:A14))),"")</x:f>
      </x:c>
      <x:c r="B14" s="53" t="str">
        <x:f>IFERROR(IF($A14="","",VLOOKUP($A14,Inventory!$B:$D,2,FALSE)),"")</x:f>
      </x:c>
      <x:c r="C14" s="53" t="str">
        <x:f>IFERROR(IF($A14="","",VLOOKUP($A14,Inventory!$B:$D,3,FALSE)),"")</x:f>
      </x:c>
      <x:c r="D14" s="59" t="str">
        <x:f>IFERROR(IF($A14="","",INDEX(Sales!$G:$G,AGGREGATE(15,6,ROW(Sales!$A$4:$A$500)/(Sales!$A$4:$A$500=$B$3),ROWS($A$10:A14)))),"")</x:f>
      </x:c>
      <x:c r="E14" s="58" t="str">
        <x:f>IFERROR(IF($A14="","",INDEX(Sales!$H:$H,AGGREGATE(15,6,ROW(Sales!$A$4:$A$500)/(Sales!$A$4:$A$500=$B$3),ROWS($A$10:A14)))),"")</x:f>
      </x:c>
      <x:c r="F14" s="58" t="str">
        <x:f>IFERROR(IF($A14="","",$D14*$E14),"")</x:f>
      </x:c>
      <x:c r="G14" s="53"/>
      <x:c r="H14" s="53"/>
      <x:c r="I14" s="50"/>
      <x:c r="J14" s="50"/>
      <x:c r="K14" s="50"/>
      <x:c r="L14" s="50"/>
      <x:c r="M14" s="50"/>
      <x:c r="N14" s="50"/>
      <x:c r="O14" s="50"/>
    </x:row>
    <x:row r="15">
      <x:c r="A15" s="53" t="str">
        <x:f>IFERROR(INDEX(Sales!$D:$D,AGGREGATE(15,6,ROW(Sales!$A$4:$A$500)/(Sales!$A$4:$A$500=$B$3),ROWS($A$10:A15))),"")</x:f>
      </x:c>
      <x:c r="B15" s="53" t="str">
        <x:f>IFERROR(IF($A15="","",VLOOKUP($A15,Inventory!$B:$D,2,FALSE)),"")</x:f>
      </x:c>
      <x:c r="C15" s="53" t="str">
        <x:f>IFERROR(IF($A15="","",VLOOKUP($A15,Inventory!$B:$D,3,FALSE)),"")</x:f>
      </x:c>
      <x:c r="D15" s="59" t="str">
        <x:f>IFERROR(IF($A15="","",INDEX(Sales!$G:$G,AGGREGATE(15,6,ROW(Sales!$A$4:$A$500)/(Sales!$A$4:$A$500=$B$3),ROWS($A$10:A15)))),"")</x:f>
      </x:c>
      <x:c r="E15" s="58" t="str">
        <x:f>IFERROR(IF($A15="","",INDEX(Sales!$H:$H,AGGREGATE(15,6,ROW(Sales!$A$4:$A$500)/(Sales!$A$4:$A$500=$B$3),ROWS($A$10:A15)))),"")</x:f>
      </x:c>
      <x:c r="F15" s="58" t="str">
        <x:f>IFERROR(IF($A15="","",$D15*$E15),"")</x:f>
      </x:c>
      <x:c r="G15" s="53"/>
      <x:c r="H15" s="53"/>
      <x:c r="I15" s="50"/>
      <x:c r="J15" s="50"/>
      <x:c r="K15" s="50"/>
      <x:c r="L15" s="50"/>
      <x:c r="M15" s="50"/>
      <x:c r="N15" s="50"/>
      <x:c r="O15" s="50"/>
    </x:row>
    <x:row r="16">
      <x:c r="A16" s="53" t="str">
        <x:f>IFERROR(INDEX(Sales!$D:$D,AGGREGATE(15,6,ROW(Sales!$A$4:$A$500)/(Sales!$A$4:$A$500=$B$3),ROWS($A$10:A16))),"")</x:f>
      </x:c>
      <x:c r="B16" s="53" t="str">
        <x:f>IFERROR(IF($A16="","",VLOOKUP($A16,Inventory!$B:$D,2,FALSE)),"")</x:f>
      </x:c>
      <x:c r="C16" s="53" t="str">
        <x:f>IFERROR(IF($A16="","",VLOOKUP($A16,Inventory!$B:$D,3,FALSE)),"")</x:f>
      </x:c>
      <x:c r="D16" s="59" t="str">
        <x:f>IFERROR(IF($A16="","",INDEX(Sales!$G:$G,AGGREGATE(15,6,ROW(Sales!$A$4:$A$500)/(Sales!$A$4:$A$500=$B$3),ROWS($A$10:A16)))),"")</x:f>
      </x:c>
      <x:c r="E16" s="58" t="str">
        <x:f>IFERROR(IF($A16="","",INDEX(Sales!$H:$H,AGGREGATE(15,6,ROW(Sales!$A$4:$A$500)/(Sales!$A$4:$A$500=$B$3),ROWS($A$10:A16)))),"")</x:f>
      </x:c>
      <x:c r="F16" s="58" t="str">
        <x:f>IFERROR(IF($A16="","",$D16*$E16),"")</x:f>
      </x:c>
      <x:c r="G16" s="53"/>
      <x:c r="H16" s="53"/>
      <x:c r="I16" s="50"/>
      <x:c r="J16" s="50"/>
      <x:c r="K16" s="50"/>
      <x:c r="L16" s="50"/>
      <x:c r="M16" s="50"/>
      <x:c r="N16" s="50"/>
      <x:c r="O16" s="50"/>
    </x:row>
    <x:row r="17">
      <x:c r="A17" s="53" t="str">
        <x:f>IFERROR(INDEX(Sales!$D:$D,AGGREGATE(15,6,ROW(Sales!$A$4:$A$500)/(Sales!$A$4:$A$500=$B$3),ROWS($A$10:A17))),"")</x:f>
      </x:c>
      <x:c r="B17" s="53" t="str">
        <x:f>IFERROR(IF($A17="","",VLOOKUP($A17,Inventory!$B:$D,2,FALSE)),"")</x:f>
      </x:c>
      <x:c r="C17" s="53" t="str">
        <x:f>IFERROR(IF($A17="","",VLOOKUP($A17,Inventory!$B:$D,3,FALSE)),"")</x:f>
      </x:c>
      <x:c r="D17" s="59" t="str">
        <x:f>IFERROR(IF($A17="","",INDEX(Sales!$G:$G,AGGREGATE(15,6,ROW(Sales!$A$4:$A$500)/(Sales!$A$4:$A$500=$B$3),ROWS($A$10:A17)))),"")</x:f>
      </x:c>
      <x:c r="E17" s="58" t="str">
        <x:f>IFERROR(IF($A17="","",INDEX(Sales!$H:$H,AGGREGATE(15,6,ROW(Sales!$A$4:$A$500)/(Sales!$A$4:$A$500=$B$3),ROWS($A$10:A17)))),"")</x:f>
      </x:c>
      <x:c r="F17" s="58" t="str">
        <x:f>IFERROR(IF($A17="","",$D17*$E17),"")</x:f>
      </x:c>
      <x:c r="G17" s="53"/>
      <x:c r="H17" s="53"/>
      <x:c r="I17" s="50"/>
      <x:c r="J17" s="50"/>
      <x:c r="K17" s="50"/>
      <x:c r="L17" s="50"/>
      <x:c r="M17" s="50"/>
      <x:c r="N17" s="50"/>
      <x:c r="O17" s="50"/>
    </x:row>
    <x:row r="18">
      <x:c r="A18" s="53" t="str">
        <x:f>IFERROR(INDEX(Sales!$D:$D,AGGREGATE(15,6,ROW(Sales!$A$4:$A$500)/(Sales!$A$4:$A$500=$B$3),ROWS($A$10:A18))),"")</x:f>
      </x:c>
      <x:c r="B18" s="53" t="str">
        <x:f>IFERROR(IF($A18="","",VLOOKUP($A18,Inventory!$B:$D,2,FALSE)),"")</x:f>
      </x:c>
      <x:c r="C18" s="53" t="str">
        <x:f>IFERROR(IF($A18="","",VLOOKUP($A18,Inventory!$B:$D,3,FALSE)),"")</x:f>
      </x:c>
      <x:c r="D18" s="59" t="str">
        <x:f>IFERROR(IF($A18="","",INDEX(Sales!$G:$G,AGGREGATE(15,6,ROW(Sales!$A$4:$A$500)/(Sales!$A$4:$A$500=$B$3),ROWS($A$10:A18)))),"")</x:f>
      </x:c>
      <x:c r="E18" s="58" t="str">
        <x:f>IFERROR(IF($A18="","",INDEX(Sales!$H:$H,AGGREGATE(15,6,ROW(Sales!$A$4:$A$500)/(Sales!$A$4:$A$500=$B$3),ROWS($A$10:A18)))),"")</x:f>
      </x:c>
      <x:c r="F18" s="58" t="str">
        <x:f>IFERROR(IF($A18="","",$D18*$E18),"")</x:f>
      </x:c>
      <x:c r="G18" s="53"/>
      <x:c r="H18" s="53"/>
      <x:c r="I18" s="50"/>
      <x:c r="J18" s="50"/>
      <x:c r="K18" s="50"/>
      <x:c r="L18" s="50"/>
      <x:c r="M18" s="50"/>
      <x:c r="N18" s="50"/>
      <x:c r="O18" s="50"/>
    </x:row>
    <x:row r="19">
      <x:c r="A19" s="53" t="str">
        <x:f>IFERROR(INDEX(Sales!$D:$D,AGGREGATE(15,6,ROW(Sales!$A$4:$A$500)/(Sales!$A$4:$A$500=$B$3),ROWS($A$10:A19))),"")</x:f>
      </x:c>
      <x:c r="B19" s="53" t="str">
        <x:f>IFERROR(IF($A19="","",VLOOKUP($A19,Inventory!$B:$D,2,FALSE)),"")</x:f>
      </x:c>
      <x:c r="C19" s="53" t="str">
        <x:f>IFERROR(IF($A19="","",VLOOKUP($A19,Inventory!$B:$D,3,FALSE)),"")</x:f>
      </x:c>
      <x:c r="D19" s="59" t="str">
        <x:f>IFERROR(IF($A19="","",INDEX(Sales!$G:$G,AGGREGATE(15,6,ROW(Sales!$A$4:$A$500)/(Sales!$A$4:$A$500=$B$3),ROWS($A$10:A19)))),"")</x:f>
      </x:c>
      <x:c r="E19" s="58" t="str">
        <x:f>IFERROR(IF($A19="","",INDEX(Sales!$H:$H,AGGREGATE(15,6,ROW(Sales!$A$4:$A$500)/(Sales!$A$4:$A$500=$B$3),ROWS($A$10:A19)))),"")</x:f>
      </x:c>
      <x:c r="F19" s="58" t="str">
        <x:f>IFERROR(IF($A19="","",$D19*$E19),"")</x:f>
      </x:c>
      <x:c r="G19" s="53"/>
      <x:c r="H19" s="53"/>
      <x:c r="I19" s="50"/>
      <x:c r="J19" s="50"/>
      <x:c r="K19" s="50"/>
      <x:c r="L19" s="50"/>
      <x:c r="M19" s="50"/>
      <x:c r="N19" s="50"/>
      <x:c r="O19" s="50"/>
    </x:row>
    <x:row r="20">
      <x:c r="A20" s="53" t="str">
        <x:f>IFERROR(INDEX(Sales!$D:$D,AGGREGATE(15,6,ROW(Sales!$A$4:$A$500)/(Sales!$A$4:$A$500=$B$3),ROWS($A$10:A20))),"")</x:f>
      </x:c>
      <x:c r="B20" s="53" t="str">
        <x:f>IFERROR(IF($A20="","",VLOOKUP($A20,Inventory!$B:$D,2,FALSE)),"")</x:f>
      </x:c>
      <x:c r="C20" s="53" t="str">
        <x:f>IFERROR(IF($A20="","",VLOOKUP($A20,Inventory!$B:$D,3,FALSE)),"")</x:f>
      </x:c>
      <x:c r="D20" s="59" t="str">
        <x:f>IFERROR(IF($A20="","",INDEX(Sales!$G:$G,AGGREGATE(15,6,ROW(Sales!$A$4:$A$500)/(Sales!$A$4:$A$500=$B$3),ROWS($A$10:A20)))),"")</x:f>
      </x:c>
      <x:c r="E20" s="58" t="str">
        <x:f>IFERROR(IF($A20="","",INDEX(Sales!$H:$H,AGGREGATE(15,6,ROW(Sales!$A$4:$A$500)/(Sales!$A$4:$A$500=$B$3),ROWS($A$10:A20)))),"")</x:f>
      </x:c>
      <x:c r="F20" s="58" t="str">
        <x:f>IFERROR(IF($A20="","",$D20*$E20),"")</x:f>
      </x:c>
      <x:c r="G20" s="53"/>
      <x:c r="H20" s="53"/>
      <x:c r="I20" s="50"/>
      <x:c r="J20" s="50"/>
      <x:c r="K20" s="50"/>
      <x:c r="L20" s="50"/>
      <x:c r="M20" s="50"/>
      <x:c r="N20" s="50"/>
      <x:c r="O20" s="50"/>
    </x:row>
    <x:row r="21">
      <x:c r="A21" s="53" t="str">
        <x:f>IFERROR(INDEX(Sales!$D:$D,AGGREGATE(15,6,ROW(Sales!$A$4:$A$500)/(Sales!$A$4:$A$500=$B$3),ROWS($A$10:A21))),"")</x:f>
      </x:c>
      <x:c r="B21" s="53" t="str">
        <x:f>IFERROR(IF($A21="","",VLOOKUP($A21,Inventory!$B:$D,2,FALSE)),"")</x:f>
      </x:c>
      <x:c r="C21" s="53" t="str">
        <x:f>IFERROR(IF($A21="","",VLOOKUP($A21,Inventory!$B:$D,3,FALSE)),"")</x:f>
      </x:c>
      <x:c r="D21" s="59" t="str">
        <x:f>IFERROR(IF($A21="","",INDEX(Sales!$G:$G,AGGREGATE(15,6,ROW(Sales!$A$4:$A$500)/(Sales!$A$4:$A$500=$B$3),ROWS($A$10:A21)))),"")</x:f>
      </x:c>
      <x:c r="E21" s="58" t="str">
        <x:f>IFERROR(IF($A21="","",INDEX(Sales!$H:$H,AGGREGATE(15,6,ROW(Sales!$A$4:$A$500)/(Sales!$A$4:$A$500=$B$3),ROWS($A$10:A21)))),"")</x:f>
      </x:c>
      <x:c r="F21" s="58" t="str">
        <x:f>IFERROR(IF($A21="","",$D21*$E21),"")</x:f>
      </x:c>
      <x:c r="G21" s="53"/>
      <x:c r="H21" s="53"/>
      <x:c r="I21" s="50"/>
      <x:c r="J21" s="50"/>
      <x:c r="K21" s="50"/>
      <x:c r="L21" s="50"/>
      <x:c r="M21" s="50"/>
      <x:c r="N21" s="50"/>
      <x:c r="O21" s="50"/>
    </x:row>
    <x:row r="22">
      <x:c r="A22" s="53" t="str">
        <x:f>IFERROR(INDEX(Sales!$D:$D,AGGREGATE(15,6,ROW(Sales!$A$4:$A$500)/(Sales!$A$4:$A$500=$B$3),ROWS($A$10:A22))),"")</x:f>
      </x:c>
      <x:c r="B22" s="53" t="str">
        <x:f>IFERROR(IF($A22="","",VLOOKUP($A22,Inventory!$B:$D,2,FALSE)),"")</x:f>
      </x:c>
      <x:c r="C22" s="53" t="str">
        <x:f>IFERROR(IF($A22="","",VLOOKUP($A22,Inventory!$B:$D,3,FALSE)),"")</x:f>
      </x:c>
      <x:c r="D22" s="59" t="str">
        <x:f>IFERROR(IF($A22="","",INDEX(Sales!$G:$G,AGGREGATE(15,6,ROW(Sales!$A$4:$A$500)/(Sales!$A$4:$A$500=$B$3),ROWS($A$10:A22)))),"")</x:f>
      </x:c>
      <x:c r="E22" s="58" t="str">
        <x:f>IFERROR(IF($A22="","",INDEX(Sales!$H:$H,AGGREGATE(15,6,ROW(Sales!$A$4:$A$500)/(Sales!$A$4:$A$500=$B$3),ROWS($A$10:A22)))),"")</x:f>
      </x:c>
      <x:c r="F22" s="58" t="str">
        <x:f>IFERROR(IF($A22="","",$D22*$E22),"")</x:f>
      </x:c>
      <x:c r="G22" s="53"/>
      <x:c r="H22" s="53"/>
      <x:c r="I22" s="50"/>
      <x:c r="J22" s="50"/>
      <x:c r="K22" s="50"/>
      <x:c r="L22" s="50"/>
      <x:c r="M22" s="50"/>
      <x:c r="N22" s="50"/>
      <x:c r="O22" s="50"/>
    </x:row>
    <x:row r="23">
      <x:c r="A23" s="53" t="str">
        <x:f>IFERROR(INDEX(Sales!$D:$D,AGGREGATE(15,6,ROW(Sales!$A$4:$A$500)/(Sales!$A$4:$A$500=$B$3),ROWS($A$10:A23))),"")</x:f>
      </x:c>
      <x:c r="B23" s="53" t="str">
        <x:f>IFERROR(IF($A23="","",VLOOKUP($A23,Inventory!$B:$D,2,FALSE)),"")</x:f>
      </x:c>
      <x:c r="C23" s="53" t="str">
        <x:f>IFERROR(IF($A23="","",VLOOKUP($A23,Inventory!$B:$D,3,FALSE)),"")</x:f>
      </x:c>
      <x:c r="D23" s="59" t="str">
        <x:f>IFERROR(IF($A23="","",INDEX(Sales!$G:$G,AGGREGATE(15,6,ROW(Sales!$A$4:$A$500)/(Sales!$A$4:$A$500=$B$3),ROWS($A$10:A23)))),"")</x:f>
      </x:c>
      <x:c r="E23" s="58" t="str">
        <x:f>IFERROR(IF($A23="","",INDEX(Sales!$H:$H,AGGREGATE(15,6,ROW(Sales!$A$4:$A$500)/(Sales!$A$4:$A$500=$B$3),ROWS($A$10:A23)))),"")</x:f>
      </x:c>
      <x:c r="F23" s="58" t="str">
        <x:f>IFERROR(IF($A23="","",$D23*$E23),"")</x:f>
      </x:c>
      <x:c r="G23" s="53"/>
      <x:c r="H23" s="53"/>
      <x:c r="I23" s="50"/>
      <x:c r="J23" s="50"/>
      <x:c r="K23" s="50"/>
      <x:c r="L23" s="50"/>
      <x:c r="M23" s="50"/>
      <x:c r="N23" s="50"/>
      <x:c r="O23" s="50"/>
    </x:row>
    <x:row r="24">
      <x:c r="A24" s="53" t="str">
        <x:f>IFERROR(INDEX(Sales!$D:$D,AGGREGATE(15,6,ROW(Sales!$A$4:$A$500)/(Sales!$A$4:$A$500=$B$3),ROWS($A$10:A24))),"")</x:f>
      </x:c>
      <x:c r="B24" s="53" t="str">
        <x:f>IFERROR(IF($A24="","",VLOOKUP($A24,Inventory!$B:$D,2,FALSE)),"")</x:f>
      </x:c>
      <x:c r="C24" s="53" t="str">
        <x:f>IFERROR(IF($A24="","",VLOOKUP($A24,Inventory!$B:$D,3,FALSE)),"")</x:f>
      </x:c>
      <x:c r="D24" s="59" t="str">
        <x:f>IFERROR(IF($A24="","",INDEX(Sales!$G:$G,AGGREGATE(15,6,ROW(Sales!$A$4:$A$500)/(Sales!$A$4:$A$500=$B$3),ROWS($A$10:A24)))),"")</x:f>
      </x:c>
      <x:c r="E24" s="58" t="str">
        <x:f>IFERROR(IF($A24="","",INDEX(Sales!$H:$H,AGGREGATE(15,6,ROW(Sales!$A$4:$A$500)/(Sales!$A$4:$A$500=$B$3),ROWS($A$10:A24)))),"")</x:f>
      </x:c>
      <x:c r="F24" s="58" t="str">
        <x:f>IFERROR(IF($A24="","",$D24*$E24),"")</x:f>
      </x:c>
      <x:c r="G24" s="53"/>
      <x:c r="H24" s="53"/>
      <x:c r="I24" s="50"/>
      <x:c r="J24" s="50"/>
      <x:c r="K24" s="50"/>
      <x:c r="L24" s="50"/>
      <x:c r="M24" s="50"/>
      <x:c r="N24" s="50"/>
      <x:c r="O24" s="50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0"/>
      <x:c r="J25" s="50"/>
      <x:c r="K25" s="50"/>
      <x:c r="L25" s="50"/>
      <x:c r="M25" s="50"/>
      <x:c r="N25" s="50"/>
      <x:c r="O25" s="50"/>
    </x:row>
    <x:row r="26">
      <x:c r="A26" s="53"/>
      <x:c r="B26" s="53"/>
      <x:c r="C26" s="53"/>
      <x:c r="D26" s="53"/>
      <x:c r="E26" s="44" t="str">
        <x:v>Subtotal</x:v>
      </x:c>
      <x:c r="F26" s="58" t="n">
        <x:f>IFERROR(SUM(F10:F24),0)</x:f>
        <x:v>0</x:v>
      </x:c>
      <x:c r="G26" s="53"/>
      <x:c r="H26" s="53"/>
      <x:c r="I26" s="50"/>
      <x:c r="J26" s="50"/>
      <x:c r="K26" s="50"/>
      <x:c r="L26" s="50"/>
      <x:c r="M26" s="50"/>
      <x:c r="N26" s="50"/>
      <x:c r="O26" s="50"/>
    </x:row>
    <x:row r="27">
      <x:c r="A27" s="53"/>
      <x:c r="B27" s="53"/>
      <x:c r="C27" s="53"/>
      <x:c r="D27" s="53"/>
      <x:c r="E27" s="44" t="str">
        <x:v>Discount</x:v>
      </x:c>
      <x:c r="F27" s="58" t="n">
        <x:v>0</x:v>
      </x:c>
      <x:c r="G27" s="53"/>
      <x:c r="H27" s="53"/>
      <x:c r="I27" s="50"/>
      <x:c r="J27" s="50"/>
      <x:c r="K27" s="50"/>
      <x:c r="L27" s="50"/>
      <x:c r="M27" s="50"/>
      <x:c r="N27" s="50"/>
      <x:c r="O27" s="50"/>
    </x:row>
    <x:row r="28">
      <x:c r="A28" s="53"/>
      <x:c r="B28" s="53"/>
      <x:c r="C28" s="53"/>
      <x:c r="D28" s="53"/>
      <x:c r="E28" s="44" t="str">
        <x:v>Paid</x:v>
      </x:c>
      <x:c r="F28" s="58" t="n">
        <x:f>IFERROR(SUMIF(Sales!$A:$A,$B$3,Sales!$N:$N),0)</x:f>
        <x:v>0</x:v>
      </x:c>
      <x:c r="G28" s="53"/>
      <x:c r="H28" s="53"/>
      <x:c r="I28" s="50"/>
      <x:c r="J28" s="50"/>
      <x:c r="K28" s="50"/>
      <x:c r="L28" s="50"/>
      <x:c r="M28" s="50"/>
      <x:c r="N28" s="50"/>
      <x:c r="O28" s="50"/>
    </x:row>
    <x:row r="29">
      <x:c r="A29" s="53"/>
      <x:c r="B29" s="53"/>
      <x:c r="C29" s="53"/>
      <x:c r="D29" s="53"/>
      <x:c r="E29" s="44" t="str">
        <x:v>Balance</x:v>
      </x:c>
      <x:c r="F29" s="58" t="n">
        <x:f>IFERROR(F26-F27-F28,0)</x:f>
        <x:v>0</x:v>
      </x:c>
      <x:c r="G29" s="53"/>
      <x:c r="H29" s="53"/>
      <x:c r="I29" s="50"/>
      <x:c r="J29" s="50"/>
      <x:c r="K29" s="50"/>
      <x:c r="L29" s="50"/>
      <x:c r="M29" s="50"/>
      <x:c r="N29" s="50"/>
      <x:c r="O29" s="50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0"/>
      <x:c r="J30" s="50"/>
      <x:c r="K30" s="50"/>
      <x:c r="L30" s="50"/>
      <x:c r="M30" s="50"/>
      <x:c r="N30" s="50"/>
      <x:c r="O30" s="50"/>
    </x:row>
    <x:row r="31">
      <x:c r="A31" s="70" t="str">
        <x:v>Note: To create PDF, select this Invoice sheet in Excel and use File &gt; Export/Save As PDF. Change cell B3 to any Invoice No.</x:v>
      </x:c>
      <x:c r="B31" s="53"/>
      <x:c r="C31" s="53"/>
      <x:c r="D31" s="53"/>
      <x:c r="E31" s="53"/>
      <x:c r="F31" s="53"/>
      <x:c r="G31" s="53"/>
      <x:c r="H31" s="53"/>
      <x:c r="I31" s="50"/>
      <x:c r="J31" s="50"/>
      <x:c r="K31" s="50"/>
      <x:c r="L31" s="50"/>
      <x:c r="M31" s="50"/>
      <x:c r="N31" s="50"/>
      <x:c r="O31" s="50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0"/>
      <x:c r="J32" s="50"/>
      <x:c r="K32" s="50"/>
      <x:c r="L32" s="50"/>
      <x:c r="M32" s="50"/>
      <x:c r="N32" s="50"/>
      <x:c r="O32" s="50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</x:row>
  </x:sheetData>
  <x:mergeCells>
    <x:mergeCell ref="A1:H1"/>
    <x:mergeCell ref="A31:H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6" t="str">
        <x:v>Payment Status</x:v>
      </x:c>
      <x:c r="B1" s="6" t="str">
        <x:v>Plate Sizes</x:v>
      </x:c>
      <x:c r="C1" s="6" t="str">
        <x:v>Suppliers</x:v>
      </x:c>
      <x:c r="D1" s="6" t="str">
        <x:v>Notes</x:v>
      </x:c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>
      <x:c r="A2" s="50" t="str">
        <x:v>Paid</x:v>
      </x:c>
      <x:c r="B2" s="50" t="str">
        <x:v>12x18</x:v>
      </x:c>
      <x:c r="C2" s="50" t="str">
        <x:v>Supplier A</x:v>
      </x:c>
      <x:c r="D2" s="50" t="str">
        <x:v>Use Item Code consistently: PLT001, PLT002, PLT003</x:v>
      </x:c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>
      <x:c r="A3" s="50" t="str">
        <x:v>Partial</x:v>
      </x:c>
      <x:c r="B3" s="50" t="str">
        <x:v>18x24</x:v>
      </x:c>
      <x:c r="C3" s="50" t="str">
        <x:v>Supplier B</x:v>
      </x:c>
      <x:c r="D3" s="50" t="str">
        <x:v>Enter every purchase in Purchases sheet.</x:v>
      </x:c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>
      <x:c r="A4" s="50" t="str">
        <x:v>Unpaid</x:v>
      </x:c>
      <x:c r="B4" s="50" t="str">
        <x:v>20x30</x:v>
      </x:c>
      <x:c r="C4" s="50" t="str">
        <x:v>Supplier C</x:v>
      </x:c>
      <x:c r="D4" s="50" t="str">
        <x:v>Enter every sale in Sales sheet.</x:v>
      </x:c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</x:row>
    <x:row r="5">
      <x:c r="A5" s="50" t="str">
        <x:v>Returned</x:v>
      </x:c>
      <x:c r="B5" s="50"/>
      <x:c r="C5" s="50"/>
      <x:c r="D5" s="50" t="str">
        <x:v>Inventory stock updates through formulas.</x:v>
      </x:c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</x:row>
    <x:row r="6">
      <x:c r="A6" s="50"/>
      <x:c r="B6" s="50"/>
      <x:c r="C6" s="50"/>
      <x:c r="D6" s="50" t="str">
        <x:v>Invoice sheet can be printed/exported as PDF from Excel.</x:v>
      </x:c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</x:row>
    <x:row r="7">
      <x:c r="A7" s="50"/>
      <x:c r="B7" s="50"/>
      <x:c r="C7" s="50"/>
      <x:c r="D7" s="50" t="str">
        <x:v>Client prices can be different from default selling price.</x:v>
      </x:c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</x:row>
    <x:row r="8">
      <x:c r="A8" s="50"/>
      <x:c r="B8" s="50"/>
      <x:c r="C8" s="50"/>
      <x:c r="D8" s="50" t="str">
        <x:v>Keep one row per item per invoice in Sales sheet.</x:v>
      </x:c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</x:row>
  </x:sheetData>
  <x:pageMargins left="0.7" right="0.7" top="0.75" bottom="0.75" header="0.3" footer="0.3"/>
</x:worksheet>
</file>